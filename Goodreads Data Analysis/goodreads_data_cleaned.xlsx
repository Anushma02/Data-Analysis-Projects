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BD\EXCELCNV\7bfedf7a-df46-4cf9-8ac3-25eac72e3e1f\"/>
    </mc:Choice>
  </mc:AlternateContent>
  <xr:revisionPtr revIDLastSave="551" documentId="8_{72436131-C16D-40C8-8A06-572A02A7B0EC}" xr6:coauthVersionLast="47" xr6:coauthVersionMax="47" xr10:uidLastSave="{2BC21635-9AB7-4FE0-B104-D2DAA6D560A7}"/>
  <bookViews>
    <workbookView xWindow="-60" yWindow="-60" windowWidth="15480" windowHeight="11640" xr2:uid="{1A382544-B98C-4351-8420-AFB4BF5A07A9}"/>
  </bookViews>
  <sheets>
    <sheet name="table" sheetId="1" r:id="rId1"/>
  </sheets>
  <definedNames>
    <definedName name="_xlnm._FilterDatabase" localSheetId="0" hidden="1">table!$A$1:$O$320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2" i="1" a="1"/>
  <c r="K2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<sst xmlns="http://schemas.openxmlformats.org/spreadsheetml/2006/main" count="2886" uniqueCount="1386">
  <si>
    <t>Book ID</t>
  </si>
  <si>
    <t>Title</t>
  </si>
  <si>
    <t>Author</t>
  </si>
  <si>
    <t>My Rating</t>
  </si>
  <si>
    <t>My Rating NEW</t>
  </si>
  <si>
    <t>Average Rating</t>
  </si>
  <si>
    <t>Publisher</t>
  </si>
  <si>
    <t>Number of Pages</t>
  </si>
  <si>
    <t>Book Length</t>
  </si>
  <si>
    <t>Original Publication Year</t>
  </si>
  <si>
    <t>Publication Century</t>
  </si>
  <si>
    <t>Date Read</t>
  </si>
  <si>
    <t>Date Read (Month/Year)</t>
  </si>
  <si>
    <t>Date Read NEW</t>
  </si>
  <si>
    <t>Exclusive Shelf</t>
  </si>
  <si>
    <t>6969</t>
  </si>
  <si>
    <t>Emma</t>
  </si>
  <si>
    <t>Jane Austen</t>
  </si>
  <si>
    <t>0</t>
  </si>
  <si>
    <t>4.1</t>
  </si>
  <si>
    <t>Penguin</t>
  </si>
  <si>
    <t>474</t>
  </si>
  <si>
    <t>1815</t>
  </si>
  <si>
    <t>currently-reading</t>
  </si>
  <si>
    <t>45169408</t>
  </si>
  <si>
    <t>Menace of the Machine: The Rise of AI in Classic Science Fiction</t>
  </si>
  <si>
    <t>Mike Ashley</t>
  </si>
  <si>
    <t>3</t>
  </si>
  <si>
    <t>3.9</t>
  </si>
  <si>
    <t>British Library Publishing</t>
  </si>
  <si>
    <t>352</t>
  </si>
  <si>
    <t>2019</t>
  </si>
  <si>
    <t>read</t>
  </si>
  <si>
    <t>3431</t>
  </si>
  <si>
    <t>The Five People You Meet in Heaven</t>
  </si>
  <si>
    <t>Mitch Albom</t>
  </si>
  <si>
    <t>4</t>
  </si>
  <si>
    <t>Hyperion</t>
  </si>
  <si>
    <t>196</t>
  </si>
  <si>
    <t>2003</t>
  </si>
  <si>
    <t>9969571</t>
  </si>
  <si>
    <t>Ready Player One (Ready Player One, #1)</t>
  </si>
  <si>
    <t>Ernest Cline</t>
  </si>
  <si>
    <t>4.2</t>
  </si>
  <si>
    <t>Crown</t>
  </si>
  <si>
    <t>480</t>
  </si>
  <si>
    <t>2011</t>
  </si>
  <si>
    <t>to-read</t>
  </si>
  <si>
    <t>13537891</t>
  </si>
  <si>
    <t>NW</t>
  </si>
  <si>
    <t>Zadie Smith</t>
  </si>
  <si>
    <t>3.5</t>
  </si>
  <si>
    <t>Hamish Hamilton</t>
  </si>
  <si>
    <t>296</t>
  </si>
  <si>
    <t>2012</t>
  </si>
  <si>
    <t>2547</t>
  </si>
  <si>
    <t>The Prophet</t>
  </si>
  <si>
    <t>Kahlil Gibran</t>
  </si>
  <si>
    <t>Rupa &amp; Co</t>
  </si>
  <si>
    <t>127</t>
  </si>
  <si>
    <t>1923</t>
  </si>
  <si>
    <t>890</t>
  </si>
  <si>
    <t>Of Mice and Men</t>
  </si>
  <si>
    <t>John Steinbeck</t>
  </si>
  <si>
    <t>107</t>
  </si>
  <si>
    <t>1937</t>
  </si>
  <si>
    <t>166997</t>
  </si>
  <si>
    <t>Stoner</t>
  </si>
  <si>
    <t>John Williams</t>
  </si>
  <si>
    <t>4.4</t>
  </si>
  <si>
    <t>NYRB Classics</t>
  </si>
  <si>
    <t>292</t>
  </si>
  <si>
    <t>1965</t>
  </si>
  <si>
    <t>39101777</t>
  </si>
  <si>
    <t>Surrounded by Idiots</t>
  </si>
  <si>
    <t>Thomas Erikson</t>
  </si>
  <si>
    <t>Macmillan Audio</t>
  </si>
  <si>
    <t>304</t>
  </si>
  <si>
    <t>2014</t>
  </si>
  <si>
    <t>40539136</t>
  </si>
  <si>
    <t>Lie With Me</t>
  </si>
  <si>
    <t>Philippe Besson</t>
  </si>
  <si>
    <t>4.3</t>
  </si>
  <si>
    <t>Scribner</t>
  </si>
  <si>
    <t>149</t>
  </si>
  <si>
    <t>2017</t>
  </si>
  <si>
    <t>275</t>
  </si>
  <si>
    <t>The Lover</t>
  </si>
  <si>
    <t>Marguerite Duras</t>
  </si>
  <si>
    <t>3.7</t>
  </si>
  <si>
    <t>Pantheon Books</t>
  </si>
  <si>
    <t>117</t>
  </si>
  <si>
    <t>1984</t>
  </si>
  <si>
    <t>586852</t>
  </si>
  <si>
    <t>The Wall</t>
  </si>
  <si>
    <t>Marlen Haushofer</t>
  </si>
  <si>
    <t>Cleis Press</t>
  </si>
  <si>
    <t>240</t>
  </si>
  <si>
    <t>1963</t>
  </si>
  <si>
    <t>56271461</t>
  </si>
  <si>
    <t>Letter to a Stranger: Essays to the Ones Who Haunt Us</t>
  </si>
  <si>
    <t>Colleen Kinder</t>
  </si>
  <si>
    <t>Algonquin Books</t>
  </si>
  <si>
    <t>336</t>
  </si>
  <si>
    <t>2022</t>
  </si>
  <si>
    <t>41952241</t>
  </si>
  <si>
    <t>Goodbye, Again: Essays, Reflections, and Illustrations</t>
  </si>
  <si>
    <t>Jonny Sun</t>
  </si>
  <si>
    <t>Harper</t>
  </si>
  <si>
    <t>224</t>
  </si>
  <si>
    <t>2021</t>
  </si>
  <si>
    <t>24113</t>
  </si>
  <si>
    <t>Gödel, Escher, Bach: An Eternal Golden Braid</t>
  </si>
  <si>
    <t>Douglas R. Hofstadter</t>
  </si>
  <si>
    <t>Basic Books</t>
  </si>
  <si>
    <t>777</t>
  </si>
  <si>
    <t>1979</t>
  </si>
  <si>
    <t>52879286</t>
  </si>
  <si>
    <t>Humankind: A Hopeful History</t>
  </si>
  <si>
    <t>Rutger Bregman</t>
  </si>
  <si>
    <t>Little, Brown and Company</t>
  </si>
  <si>
    <t>462</t>
  </si>
  <si>
    <t>36442813</t>
  </si>
  <si>
    <t>The Order of Time</t>
  </si>
  <si>
    <t>Carlo Rovelli</t>
  </si>
  <si>
    <t>Riverhead Books</t>
  </si>
  <si>
    <t>111185</t>
  </si>
  <si>
    <t>Physics and Philosophy: The Revolution in Modern Science</t>
  </si>
  <si>
    <t>Werner Heisenberg</t>
  </si>
  <si>
    <t>176</t>
  </si>
  <si>
    <t>1958</t>
  </si>
  <si>
    <t>25734172</t>
  </si>
  <si>
    <t>Seven Brief Lessons on Physics</t>
  </si>
  <si>
    <t>81</t>
  </si>
  <si>
    <t>9221598</t>
  </si>
  <si>
    <t>Quantum Physics for Poets</t>
  </si>
  <si>
    <t>Leon M. Lederman</t>
  </si>
  <si>
    <t>Prometheus</t>
  </si>
  <si>
    <t>338</t>
  </si>
  <si>
    <t>2010</t>
  </si>
  <si>
    <t>21413662</t>
  </si>
  <si>
    <t>What If?: Serious Scientific Answers to Absurd Hypothetical Questions</t>
  </si>
  <si>
    <t>Randall Munroe</t>
  </si>
  <si>
    <t>Dey Street Books</t>
  </si>
  <si>
    <t>303</t>
  </si>
  <si>
    <t>50276196</t>
  </si>
  <si>
    <t>People Like Us: What it Takes to Make it in Modern Britain</t>
  </si>
  <si>
    <t>Hashi Mohamed</t>
  </si>
  <si>
    <t>Profile Books</t>
  </si>
  <si>
    <t>321</t>
  </si>
  <si>
    <t>2020</t>
  </si>
  <si>
    <t>17801996</t>
  </si>
  <si>
    <t>Conversational Intelligence: How Great Leaders Build Trust and Get Extraordinary Results</t>
  </si>
  <si>
    <t>Judith E. Glaser</t>
  </si>
  <si>
    <t>3.6</t>
  </si>
  <si>
    <t>Routledge</t>
  </si>
  <si>
    <t>256</t>
  </si>
  <si>
    <t>2013</t>
  </si>
  <si>
    <t>3828902</t>
  </si>
  <si>
    <t>Thinking In Systems: A Primer</t>
  </si>
  <si>
    <t>Donella H. Meadows</t>
  </si>
  <si>
    <t>Chelsea Green Publishing</t>
  </si>
  <si>
    <t>218</t>
  </si>
  <si>
    <t>2008</t>
  </si>
  <si>
    <t>49176</t>
  </si>
  <si>
    <t>Games People Play</t>
  </si>
  <si>
    <t>Eric Berne</t>
  </si>
  <si>
    <t>192</t>
  </si>
  <si>
    <t>1964</t>
  </si>
  <si>
    <t>2072119</t>
  </si>
  <si>
    <t>My Dog Is a Carrot</t>
  </si>
  <si>
    <t>John Hegley</t>
  </si>
  <si>
    <t xml:space="preserve">Walker Books Ltd </t>
  </si>
  <si>
    <t>64</t>
  </si>
  <si>
    <t>2002</t>
  </si>
  <si>
    <t>2288669</t>
  </si>
  <si>
    <t>The Curate in Charge</t>
  </si>
  <si>
    <t>Mrs. Oliphant</t>
  </si>
  <si>
    <t>3.8</t>
  </si>
  <si>
    <t>Sutton Pub Ltd</t>
  </si>
  <si>
    <t>1987</t>
  </si>
  <si>
    <t>55479353</t>
  </si>
  <si>
    <t>My First Thirty Years</t>
  </si>
  <si>
    <t>Gertrude Beasley</t>
  </si>
  <si>
    <t>Sourcebooks</t>
  </si>
  <si>
    <t>1925</t>
  </si>
  <si>
    <t>17165596</t>
  </si>
  <si>
    <t>The Kite Runner</t>
  </si>
  <si>
    <t>Khaled Hosseini</t>
  </si>
  <si>
    <t>371</t>
  </si>
  <si>
    <t>32929156</t>
  </si>
  <si>
    <t>Wuthering Heights</t>
  </si>
  <si>
    <t>Emily Brontë</t>
  </si>
  <si>
    <t>359</t>
  </si>
  <si>
    <t>1847</t>
  </si>
  <si>
    <t>19063</t>
  </si>
  <si>
    <t>The Book Thief</t>
  </si>
  <si>
    <t>Markus Zusak</t>
  </si>
  <si>
    <t>Alfred A. Knopf</t>
  </si>
  <si>
    <t>592</t>
  </si>
  <si>
    <t>2005</t>
  </si>
  <si>
    <t>9838</t>
  </si>
  <si>
    <t>The Bookseller of Kabul</t>
  </si>
  <si>
    <t>Åsne Seierstad</t>
  </si>
  <si>
    <t>288</t>
  </si>
  <si>
    <t>26026054</t>
  </si>
  <si>
    <t>It Didn't Start with You: How Inherited Family Trauma Shapes Who We Are and How to End the Cycle</t>
  </si>
  <si>
    <t>Mark Wolynn</t>
  </si>
  <si>
    <t>2016</t>
  </si>
  <si>
    <t>108380</t>
  </si>
  <si>
    <t>Mind Over Mood: Change How You Feel By Changing the Way You Think</t>
  </si>
  <si>
    <t>Dennis Greenberger</t>
  </si>
  <si>
    <t>The Guilford Press</t>
  </si>
  <si>
    <t>243</t>
  </si>
  <si>
    <t>1995</t>
  </si>
  <si>
    <t>10127008</t>
  </si>
  <si>
    <t>Self-Compassion: The Proven Power of Being Kind to Yourself</t>
  </si>
  <si>
    <t>Kristin Neff</t>
  </si>
  <si>
    <t>William Morrow</t>
  </si>
  <si>
    <t>320</t>
  </si>
  <si>
    <t>40121993</t>
  </si>
  <si>
    <t>The Collected Schizophrenias: Essays</t>
  </si>
  <si>
    <t>Esmé Weijun Wang</t>
  </si>
  <si>
    <t>Graywolf Press</t>
  </si>
  <si>
    <t>57145833</t>
  </si>
  <si>
    <t>My Body</t>
  </si>
  <si>
    <t>Emily Ratajkowski</t>
  </si>
  <si>
    <t>Metropolitan Books</t>
  </si>
  <si>
    <t>239</t>
  </si>
  <si>
    <t>30962053</t>
  </si>
  <si>
    <t>The Idiot</t>
  </si>
  <si>
    <t>Elif Batuman</t>
  </si>
  <si>
    <t>423</t>
  </si>
  <si>
    <t>6798263</t>
  </si>
  <si>
    <t>Bluets</t>
  </si>
  <si>
    <t>Maggie Nelson</t>
  </si>
  <si>
    <t>Wave Books</t>
  </si>
  <si>
    <t>112</t>
  </si>
  <si>
    <t>2009</t>
  </si>
  <si>
    <t>36336078</t>
  </si>
  <si>
    <t>Call Me By Your Name (Call Me By Your Name, #1)</t>
  </si>
  <si>
    <t>André Aciman</t>
  </si>
  <si>
    <t>Atlantic Books</t>
  </si>
  <si>
    <t>248</t>
  </si>
  <si>
    <t>2007</t>
  </si>
  <si>
    <t>52892857</t>
  </si>
  <si>
    <t>The Color Purple</t>
  </si>
  <si>
    <t>Alice Walker</t>
  </si>
  <si>
    <t>287</t>
  </si>
  <si>
    <t>1982</t>
  </si>
  <si>
    <t>11996</t>
  </si>
  <si>
    <t>I Who Have Never Known Men</t>
  </si>
  <si>
    <t>Jacqueline Harpman</t>
  </si>
  <si>
    <t>Avon Eos</t>
  </si>
  <si>
    <t>208</t>
  </si>
  <si>
    <t>40277241</t>
  </si>
  <si>
    <t>Brief Answers to the Big Questions</t>
  </si>
  <si>
    <t>Stephen Hawking</t>
  </si>
  <si>
    <t>Bantam</t>
  </si>
  <si>
    <t>2018</t>
  </si>
  <si>
    <t>7247854</t>
  </si>
  <si>
    <t>The Disappearing Spoon: And Other True Tales of Madness, Love, and the History of the World from the Periodic Table of the Elements</t>
  </si>
  <si>
    <t>Sam Kean</t>
  </si>
  <si>
    <t>394</t>
  </si>
  <si>
    <t>17910054</t>
  </si>
  <si>
    <t>The Sixth Extinction: An Unnatural History</t>
  </si>
  <si>
    <t>Elizabeth Kolbert</t>
  </si>
  <si>
    <t>Henry Holt and Co. (Georg von Holtzbrinck)</t>
  </si>
  <si>
    <t>34466963</t>
  </si>
  <si>
    <t>Why We Sleep: Unlocking the Power of Sleep and Dreams</t>
  </si>
  <si>
    <t>Matthew Walker</t>
  </si>
  <si>
    <t>368</t>
  </si>
  <si>
    <t>55030</t>
  </si>
  <si>
    <t>Cosmos</t>
  </si>
  <si>
    <t>Carl Sagan</t>
  </si>
  <si>
    <t>Random House</t>
  </si>
  <si>
    <t>384</t>
  </si>
  <si>
    <t>1980</t>
  </si>
  <si>
    <t>61535</t>
  </si>
  <si>
    <t>The Selfish Gene</t>
  </si>
  <si>
    <t>Richard Dawkins</t>
  </si>
  <si>
    <t>Oxford University Press</t>
  </si>
  <si>
    <t>360</t>
  </si>
  <si>
    <t>1976</t>
  </si>
  <si>
    <t>18693771</t>
  </si>
  <si>
    <t>The Body Keeps the Score: Brain, Mind, and Body in the Healing of Trauma</t>
  </si>
  <si>
    <t>Bessel van der Kolk</t>
  </si>
  <si>
    <t>Viking</t>
  </si>
  <si>
    <t>464</t>
  </si>
  <si>
    <t>63697</t>
  </si>
  <si>
    <t>The Man Who Mistook His Wife for a Hat and Other Clinical Tales</t>
  </si>
  <si>
    <t>Oliver Sacks</t>
  </si>
  <si>
    <t>Touchstone</t>
  </si>
  <si>
    <t>1985</t>
  </si>
  <si>
    <t>12609433</t>
  </si>
  <si>
    <t>The Power of Habit: Why We Do What We Do in Life and Business</t>
  </si>
  <si>
    <t>Charles Duhigg</t>
  </si>
  <si>
    <t>375</t>
  </si>
  <si>
    <t>6516450</t>
  </si>
  <si>
    <t>What the Dog Saw and Other Adventures</t>
  </si>
  <si>
    <t>Malcolm Gladwell</t>
  </si>
  <si>
    <t>444</t>
  </si>
  <si>
    <t>15751404</t>
  </si>
  <si>
    <t>David and Goliath: Underdogs, Misfits, and the Art of Battling Giants</t>
  </si>
  <si>
    <t>305</t>
  </si>
  <si>
    <t>43848929</t>
  </si>
  <si>
    <t>Talking to Strangers: What We Should Know About the People We Don't Know</t>
  </si>
  <si>
    <t>388</t>
  </si>
  <si>
    <t>2612</t>
  </si>
  <si>
    <t>The Tipping Point: How Little Things Can Make a Big Difference</t>
  </si>
  <si>
    <t xml:space="preserve">Time Warner Books </t>
  </si>
  <si>
    <t>301</t>
  </si>
  <si>
    <t>2000</t>
  </si>
  <si>
    <t>21</t>
  </si>
  <si>
    <t>A Short History of Nearly Everything</t>
  </si>
  <si>
    <t>Bill Bryson</t>
  </si>
  <si>
    <t>544</t>
  </si>
  <si>
    <t>42270835</t>
  </si>
  <si>
    <t>The Nickel Boys</t>
  </si>
  <si>
    <t>Colson Whitehead</t>
  </si>
  <si>
    <t>Doubleday</t>
  </si>
  <si>
    <t>213</t>
  </si>
  <si>
    <t>27071490</t>
  </si>
  <si>
    <t>Homegoing</t>
  </si>
  <si>
    <t>Yaa Gyasi</t>
  </si>
  <si>
    <t>4.5</t>
  </si>
  <si>
    <t>34051011</t>
  </si>
  <si>
    <t>Pachinko</t>
  </si>
  <si>
    <t>Min Jin Lee</t>
  </si>
  <si>
    <t>Grand Central Publishing</t>
  </si>
  <si>
    <t>496</t>
  </si>
  <si>
    <t>9361589</t>
  </si>
  <si>
    <t>The Night Circus</t>
  </si>
  <si>
    <t>Erin Morgenstern</t>
  </si>
  <si>
    <t>506</t>
  </si>
  <si>
    <t>49628</t>
  </si>
  <si>
    <t>Cloud Atlas</t>
  </si>
  <si>
    <t>David Mitchell</t>
  </si>
  <si>
    <t>509</t>
  </si>
  <si>
    <t>2004</t>
  </si>
  <si>
    <t>40180098</t>
  </si>
  <si>
    <t>The Overstory</t>
  </si>
  <si>
    <t>Richard Powers</t>
  </si>
  <si>
    <t>W. W. Norton &amp; Company</t>
  </si>
  <si>
    <t>502</t>
  </si>
  <si>
    <t>43317482</t>
  </si>
  <si>
    <t>In the Dream House</t>
  </si>
  <si>
    <t>Carmen Maria Machado</t>
  </si>
  <si>
    <t>251</t>
  </si>
  <si>
    <t>44890081</t>
  </si>
  <si>
    <t>My Dark Vanessa</t>
  </si>
  <si>
    <t>Kate Elizabeth Russell</t>
  </si>
  <si>
    <t>373</t>
  </si>
  <si>
    <t>41880609</t>
  </si>
  <si>
    <t>On Earth We're Briefly Gorgeous</t>
  </si>
  <si>
    <t>Ocean Vuong</t>
  </si>
  <si>
    <t>246</t>
  </si>
  <si>
    <t>52741293</t>
  </si>
  <si>
    <t>Shuggie Bain</t>
  </si>
  <si>
    <t>Douglas Stuart</t>
  </si>
  <si>
    <t>Grove Press</t>
  </si>
  <si>
    <t>430</t>
  </si>
  <si>
    <t>53642699</t>
  </si>
  <si>
    <t>The Mountain Is You: Transforming Self-Sabotage Into Self-Mastery</t>
  </si>
  <si>
    <t>Brianna Wiest</t>
  </si>
  <si>
    <t>Thought Catalog Books</t>
  </si>
  <si>
    <t>250</t>
  </si>
  <si>
    <t>35133922</t>
  </si>
  <si>
    <t>Educated</t>
  </si>
  <si>
    <t>Tara Westover</t>
  </si>
  <si>
    <t>5</t>
  </si>
  <si>
    <t>29780253</t>
  </si>
  <si>
    <t>Born a Crime: Stories From a South African Childhood</t>
  </si>
  <si>
    <t>Trevor Noah</t>
  </si>
  <si>
    <t>289</t>
  </si>
  <si>
    <t>32620332</t>
  </si>
  <si>
    <t>The Seven Husbands of Evelyn Hugo</t>
  </si>
  <si>
    <t>Taylor Jenkins Reid</t>
  </si>
  <si>
    <t>Atria Books</t>
  </si>
  <si>
    <t>389</t>
  </si>
  <si>
    <t>22822858</t>
  </si>
  <si>
    <t>A Little Life</t>
  </si>
  <si>
    <t>Hanya Yanagihara</t>
  </si>
  <si>
    <t>720</t>
  </si>
  <si>
    <t>2015</t>
  </si>
  <si>
    <t>11250317</t>
  </si>
  <si>
    <t>The Song of Achilles</t>
  </si>
  <si>
    <t>Madeline Miller</t>
  </si>
  <si>
    <t>Bloomsbury</t>
  </si>
  <si>
    <t>44767458</t>
  </si>
  <si>
    <t>Dune (Dune #1)</t>
  </si>
  <si>
    <t>Frank Herbert</t>
  </si>
  <si>
    <t>Ace</t>
  </si>
  <si>
    <t>658</t>
  </si>
  <si>
    <t>2767052</t>
  </si>
  <si>
    <t>The Hunger Games (The Hunger Games, #1)</t>
  </si>
  <si>
    <t>Suzanne Collins</t>
  </si>
  <si>
    <t>Scholastic Press</t>
  </si>
  <si>
    <t>374</t>
  </si>
  <si>
    <t>485894</t>
  </si>
  <si>
    <t>The Metamorphosis</t>
  </si>
  <si>
    <t>Franz Kafka</t>
  </si>
  <si>
    <t>201</t>
  </si>
  <si>
    <t>1915</t>
  </si>
  <si>
    <t>11337</t>
  </si>
  <si>
    <t>The Bluest Eye</t>
  </si>
  <si>
    <t>Toni Morrison</t>
  </si>
  <si>
    <t>Plume</t>
  </si>
  <si>
    <t>216</t>
  </si>
  <si>
    <t>1970</t>
  </si>
  <si>
    <t>4214</t>
  </si>
  <si>
    <t>Life of Pi</t>
  </si>
  <si>
    <t>Yann Martel</t>
  </si>
  <si>
    <t>Seal Books</t>
  </si>
  <si>
    <t>460</t>
  </si>
  <si>
    <t>2001</t>
  </si>
  <si>
    <t>52129515</t>
  </si>
  <si>
    <t>Untamed</t>
  </si>
  <si>
    <t>Glennon Doyle</t>
  </si>
  <si>
    <t>The Dial Press</t>
  </si>
  <si>
    <t>333</t>
  </si>
  <si>
    <t>228394781</t>
  </si>
  <si>
    <t>Small Boat</t>
  </si>
  <si>
    <t>Vincent Delecroix</t>
  </si>
  <si>
    <t>HopeRoad</t>
  </si>
  <si>
    <t>122</t>
  </si>
  <si>
    <t>2023</t>
  </si>
  <si>
    <t>2156</t>
  </si>
  <si>
    <t>Persuasion</t>
  </si>
  <si>
    <t>249</t>
  </si>
  <si>
    <t>1817</t>
  </si>
  <si>
    <t>30593</t>
  </si>
  <si>
    <t>Pnin</t>
  </si>
  <si>
    <t>Vladimir Nabokov</t>
  </si>
  <si>
    <t>Everyman's Library</t>
  </si>
  <si>
    <t>184</t>
  </si>
  <si>
    <t>1957</t>
  </si>
  <si>
    <t>40607194</t>
  </si>
  <si>
    <t>East of Eden</t>
  </si>
  <si>
    <t>602</t>
  </si>
  <si>
    <t>1952</t>
  </si>
  <si>
    <t>61173877</t>
  </si>
  <si>
    <t>You're The Only One I've Told</t>
  </si>
  <si>
    <t>Meera Shah</t>
  </si>
  <si>
    <t>Chicago Review Press</t>
  </si>
  <si>
    <t>308</t>
  </si>
  <si>
    <t>50196744</t>
  </si>
  <si>
    <t>Know My Name</t>
  </si>
  <si>
    <t>Chanel Miller</t>
  </si>
  <si>
    <t>4.7</t>
  </si>
  <si>
    <t>210246742</t>
  </si>
  <si>
    <t>Abortion: Our Bodies, Their Lies, and the Truths We Use to Win</t>
  </si>
  <si>
    <t>Jessica Valenti</t>
  </si>
  <si>
    <t>2024</t>
  </si>
  <si>
    <t>35036409</t>
  </si>
  <si>
    <t>My Brilliant Friend (Neapolitan Novels, #1)</t>
  </si>
  <si>
    <t>Elena Ferrante</t>
  </si>
  <si>
    <t>331</t>
  </si>
  <si>
    <t>41880092</t>
  </si>
  <si>
    <t>The Undocumented Americans</t>
  </si>
  <si>
    <t>Karla Cornejo Villavicencio</t>
  </si>
  <si>
    <t>One World</t>
  </si>
  <si>
    <t>24728470</t>
  </si>
  <si>
    <t>M Train</t>
  </si>
  <si>
    <t>Patti Smith</t>
  </si>
  <si>
    <t>Knopf</t>
  </si>
  <si>
    <t>167129384</t>
  </si>
  <si>
    <t>Law: A Very Short Introduction</t>
  </si>
  <si>
    <t>Raymond Wacks</t>
  </si>
  <si>
    <t>172</t>
  </si>
  <si>
    <t>58612786</t>
  </si>
  <si>
    <t>$100M Offers: How To Make Offers So Good People Feel Stupid Saying No</t>
  </si>
  <si>
    <t>Alex Hormozi</t>
  </si>
  <si>
    <t>4.6</t>
  </si>
  <si>
    <t>Acquisition.com Publishing</t>
  </si>
  <si>
    <t>155</t>
  </si>
  <si>
    <t>15704926</t>
  </si>
  <si>
    <t>Love Yourself Like Your Life Depends on It</t>
  </si>
  <si>
    <t>Kamal Ravikant</t>
  </si>
  <si>
    <t>CreateSpace</t>
  </si>
  <si>
    <t>59</t>
  </si>
  <si>
    <t>36072</t>
  </si>
  <si>
    <t>The 7 Habits of Highly Effective People: Powerful Lessons in Personal Change</t>
  </si>
  <si>
    <t>Stephen R. Covey</t>
  </si>
  <si>
    <t>Free Press</t>
  </si>
  <si>
    <t>372</t>
  </si>
  <si>
    <t>1989</t>
  </si>
  <si>
    <t>15839976</t>
  </si>
  <si>
    <t>Red Rising (Red Rising Saga, #1)</t>
  </si>
  <si>
    <t>Pierce Brown</t>
  </si>
  <si>
    <t>Del Rey</t>
  </si>
  <si>
    <t>382</t>
  </si>
  <si>
    <t>30659</t>
  </si>
  <si>
    <t>Meditations</t>
  </si>
  <si>
    <t>Marcus Aurelius</t>
  </si>
  <si>
    <t>254</t>
  </si>
  <si>
    <t>180</t>
  </si>
  <si>
    <t>4865</t>
  </si>
  <si>
    <t>How to Win Friends &amp; Influence People</t>
  </si>
  <si>
    <t>Dale Carnegie</t>
  </si>
  <si>
    <t>Gallery Books</t>
  </si>
  <si>
    <t>1936</t>
  </si>
  <si>
    <t>774088</t>
  </si>
  <si>
    <t>Difficult Conversations: How to Discuss What Matters Most</t>
  </si>
  <si>
    <t>Douglas Stone</t>
  </si>
  <si>
    <t>1999</t>
  </si>
  <si>
    <t>52766000</t>
  </si>
  <si>
    <t>Big Friendship: How We Keep Each Other Close</t>
  </si>
  <si>
    <t>Aminatou Sow</t>
  </si>
  <si>
    <t>Simon &amp; Schuster</t>
  </si>
  <si>
    <t>17331360</t>
  </si>
  <si>
    <t>The Art of Communicating</t>
  </si>
  <si>
    <t>Thich Nhat Hanh</t>
  </si>
  <si>
    <t>29939161</t>
  </si>
  <si>
    <t>Radical Candor: Be a Kickass Boss Without Losing Your Humanity</t>
  </si>
  <si>
    <t>Kim Malone Scott</t>
  </si>
  <si>
    <t>St. Martin's Press</t>
  </si>
  <si>
    <t>40672036</t>
  </si>
  <si>
    <t>Digital Minimalism: Choosing a Focused Life in a Noisy World</t>
  </si>
  <si>
    <t>Cal Newport</t>
  </si>
  <si>
    <t>Portfolio</t>
  </si>
  <si>
    <t>302</t>
  </si>
  <si>
    <t>40940205</t>
  </si>
  <si>
    <t>Tribe: On Homecoming and Belonging</t>
  </si>
  <si>
    <t>Sebastian Junger</t>
  </si>
  <si>
    <t>Twelve</t>
  </si>
  <si>
    <t>182</t>
  </si>
  <si>
    <t>34921573</t>
  </si>
  <si>
    <t>Lost Connections: Uncovering the Real Causes of Depression - and the Unexpected Solutions</t>
  </si>
  <si>
    <t>Johann Hari</t>
  </si>
  <si>
    <t>322</t>
  </si>
  <si>
    <t>21412226</t>
  </si>
  <si>
    <t>The Like Switch: An Ex-FBI Agent's Guide to Influencing, Attracting, and Winning People Over (The Like Switch Series)</t>
  </si>
  <si>
    <t>Jack Schafer</t>
  </si>
  <si>
    <t>59883574</t>
  </si>
  <si>
    <t>Platonic: How the Science of Attachment Can Help You Make—and Keep—Friends</t>
  </si>
  <si>
    <t>Marisa G. Franco</t>
  </si>
  <si>
    <t>G.P. Putnam's Sons</t>
  </si>
  <si>
    <t>3869</t>
  </si>
  <si>
    <t>A Brief History of Time</t>
  </si>
  <si>
    <t>226</t>
  </si>
  <si>
    <t>1988</t>
  </si>
  <si>
    <t>38746485</t>
  </si>
  <si>
    <t>Becoming</t>
  </si>
  <si>
    <t>Michelle Obama</t>
  </si>
  <si>
    <t>448</t>
  </si>
  <si>
    <t>8520610</t>
  </si>
  <si>
    <t>Quiet: The Power of Introverts in a World That Can't Stop Talking</t>
  </si>
  <si>
    <t>Susan Cain</t>
  </si>
  <si>
    <t>127441416</t>
  </si>
  <si>
    <t>The Diary of a Young Girl</t>
  </si>
  <si>
    <t>Anne Frank</t>
  </si>
  <si>
    <t>1947</t>
  </si>
  <si>
    <t>23692271</t>
  </si>
  <si>
    <t>Sapiens: A Brief History of Humankind</t>
  </si>
  <si>
    <t>Yuval Noah Harari</t>
  </si>
  <si>
    <t>Vintage Books</t>
  </si>
  <si>
    <t>512</t>
  </si>
  <si>
    <t>17607</t>
  </si>
  <si>
    <t>All About Love: New Visions</t>
  </si>
  <si>
    <t>bell hooks</t>
  </si>
  <si>
    <t>849380</t>
  </si>
  <si>
    <t>The Seven Principles for Making Marriage Work: A Practical Guide from the Country's Foremost Relationship Expert</t>
  </si>
  <si>
    <t>John M. Gottman</t>
  </si>
  <si>
    <t>Harmony</t>
  </si>
  <si>
    <t>271</t>
  </si>
  <si>
    <t>2153780</t>
  </si>
  <si>
    <t>Hold Me Tight</t>
  </si>
  <si>
    <t>Sue Johnson</t>
  </si>
  <si>
    <t>300</t>
  </si>
  <si>
    <t>44788001</t>
  </si>
  <si>
    <t>The Emotionally Intelligent Leader</t>
  </si>
  <si>
    <t>Daniel Goleman</t>
  </si>
  <si>
    <t>Harvard Business Review Press</t>
  </si>
  <si>
    <t>128</t>
  </si>
  <si>
    <t>71730</t>
  </si>
  <si>
    <t>Nonviolent Communication: A Language of Life</t>
  </si>
  <si>
    <t>Marshall B. Rosenberg</t>
  </si>
  <si>
    <t>Puddledancer Press</t>
  </si>
  <si>
    <t>220</t>
  </si>
  <si>
    <t>13588356</t>
  </si>
  <si>
    <t>Daring Greatly: How the Courage to Be Vulnerable Transforms the Way We Live, Love, Parent, and Lead</t>
  </si>
  <si>
    <t>Brené Brown</t>
  </si>
  <si>
    <t>Avery</t>
  </si>
  <si>
    <t>27209485</t>
  </si>
  <si>
    <t>Emotional Agility: Get Unstuck, Embrace Change, and Thrive in Work and Life</t>
  </si>
  <si>
    <t>Susan David</t>
  </si>
  <si>
    <t>43782400</t>
  </si>
  <si>
    <t>Permission to Feel: The Power of Emotional Intelligence to Achieve Well-Being and Success</t>
  </si>
  <si>
    <t>Marc Brackett</t>
  </si>
  <si>
    <t>Celadon Books</t>
  </si>
  <si>
    <t>26329</t>
  </si>
  <si>
    <t>Emotional Intelligence: Why It Can Matter More Than IQ</t>
  </si>
  <si>
    <t>9547888</t>
  </si>
  <si>
    <t>Attached: The New Science of Adult Attachment and How It Can Help You Find—and Keep—Love</t>
  </si>
  <si>
    <t>Amir Levine</t>
  </si>
  <si>
    <t>Tarcher</t>
  </si>
  <si>
    <t>40745</t>
  </si>
  <si>
    <t>Mindset: The New Psychology of Success</t>
  </si>
  <si>
    <t>Carol S. Dweck</t>
  </si>
  <si>
    <t>276</t>
  </si>
  <si>
    <t>2006</t>
  </si>
  <si>
    <t>7015403</t>
  </si>
  <si>
    <t>The Gifts of Imperfection</t>
  </si>
  <si>
    <t>Hazelden</t>
  </si>
  <si>
    <t>137</t>
  </si>
  <si>
    <t>56616095</t>
  </si>
  <si>
    <t>The Bell Jar</t>
  </si>
  <si>
    <t>Sylvia Plath</t>
  </si>
  <si>
    <t>1934</t>
  </si>
  <si>
    <t>Little Women (Little Women, #1)</t>
  </si>
  <si>
    <t>Louisa May Alcott</t>
  </si>
  <si>
    <t>Signet Classics</t>
  </si>
  <si>
    <t>449</t>
  </si>
  <si>
    <t>1868</t>
  </si>
  <si>
    <t>22557272</t>
  </si>
  <si>
    <t>The Girl on the Train</t>
  </si>
  <si>
    <t>Paula Hawkins</t>
  </si>
  <si>
    <t>29044</t>
  </si>
  <si>
    <t>The Secret History</t>
  </si>
  <si>
    <t>Donna Tartt</t>
  </si>
  <si>
    <t>559</t>
  </si>
  <si>
    <t>1992</t>
  </si>
  <si>
    <t>929</t>
  </si>
  <si>
    <t>Memoirs of a Geisha</t>
  </si>
  <si>
    <t>Arthur Golden</t>
  </si>
  <si>
    <t>503</t>
  </si>
  <si>
    <t>1997</t>
  </si>
  <si>
    <t>7144</t>
  </si>
  <si>
    <t>Crime and Punishment</t>
  </si>
  <si>
    <t>Fyodor Dostoevsky</t>
  </si>
  <si>
    <t>671</t>
  </si>
  <si>
    <t>1866</t>
  </si>
  <si>
    <t>6288</t>
  </si>
  <si>
    <t>The Road</t>
  </si>
  <si>
    <t>Cormac McCarthy</t>
  </si>
  <si>
    <t>241</t>
  </si>
  <si>
    <t>One Hundred Years of Solitude</t>
  </si>
  <si>
    <t>Gabriel Garcí­a Márquez</t>
  </si>
  <si>
    <t>417</t>
  </si>
  <si>
    <t>1967</t>
  </si>
  <si>
    <t>35031085</t>
  </si>
  <si>
    <t>Frankenstein: The 1818 Text</t>
  </si>
  <si>
    <t>Mary Wollstonecraft Shelley</t>
  </si>
  <si>
    <t>260</t>
  </si>
  <si>
    <t>1818</t>
  </si>
  <si>
    <t>19288043</t>
  </si>
  <si>
    <t>Gone Girl</t>
  </si>
  <si>
    <t>Gillian Flynn</t>
  </si>
  <si>
    <t>Ballantine Books</t>
  </si>
  <si>
    <t>415</t>
  </si>
  <si>
    <t>10210</t>
  </si>
  <si>
    <t>Jane Eyre</t>
  </si>
  <si>
    <t>Charlotte Brontë</t>
  </si>
  <si>
    <t>532</t>
  </si>
  <si>
    <t>36809135</t>
  </si>
  <si>
    <t>Where the Crawdads Sing</t>
  </si>
  <si>
    <t>Delia Owens</t>
  </si>
  <si>
    <t>13079982</t>
  </si>
  <si>
    <t>Fahrenheit 451</t>
  </si>
  <si>
    <t>Ray Bradbury</t>
  </si>
  <si>
    <t>194</t>
  </si>
  <si>
    <t>1953</t>
  </si>
  <si>
    <t>5107</t>
  </si>
  <si>
    <t>The Catcher in the Rye</t>
  </si>
  <si>
    <t>J.D. Salinger</t>
  </si>
  <si>
    <t>Back Bay Books</t>
  </si>
  <si>
    <t>277</t>
  </si>
  <si>
    <t>1951</t>
  </si>
  <si>
    <t>41733839</t>
  </si>
  <si>
    <t>The Great Gatsby</t>
  </si>
  <si>
    <t>F. Scott Fitzgerald</t>
  </si>
  <si>
    <t>61439040</t>
  </si>
  <si>
    <t>George Orwell</t>
  </si>
  <si>
    <t>1949</t>
  </si>
  <si>
    <t>30165203</t>
  </si>
  <si>
    <t>American Gods: Tenth Anniversary (American Gods, #1)</t>
  </si>
  <si>
    <t>Neil Gaiman</t>
  </si>
  <si>
    <t>635</t>
  </si>
  <si>
    <t>1772910</t>
  </si>
  <si>
    <t>White Nights</t>
  </si>
  <si>
    <t>82</t>
  </si>
  <si>
    <t>1848</t>
  </si>
  <si>
    <t>123857637</t>
  </si>
  <si>
    <t>Never Split the Difference: Negotiating as if Your Life Depended on It</t>
  </si>
  <si>
    <t>Chris Voss</t>
  </si>
  <si>
    <t>274</t>
  </si>
  <si>
    <t>15014</t>
  </si>
  <si>
    <t>Crucial Conversations: Tools for Talking When Stakes are High</t>
  </si>
  <si>
    <t>Kerry Patterson</t>
  </si>
  <si>
    <t>McGraw-Hill</t>
  </si>
  <si>
    <t>22249695</t>
  </si>
  <si>
    <t>Masterminds (Masterminds, #1)</t>
  </si>
  <si>
    <t>Gordon Korman</t>
  </si>
  <si>
    <t>Balzer &amp; Bray</t>
  </si>
  <si>
    <t>55145261</t>
  </si>
  <si>
    <t>The Anthropocene Reviewed: Essays on a Human-Centered Planet</t>
  </si>
  <si>
    <t>John Green</t>
  </si>
  <si>
    <t>Dutton</t>
  </si>
  <si>
    <t>40102</t>
  </si>
  <si>
    <t>Blink: The Power of Thinking Without Thinking</t>
  </si>
  <si>
    <t>30135182</t>
  </si>
  <si>
    <t>A Brief History of Everyone Who Ever Lived: The Stories in Our Genes</t>
  </si>
  <si>
    <t>Adam Rutherford</t>
  </si>
  <si>
    <t>Weidenfeld &amp; Nicolson</t>
  </si>
  <si>
    <t>419</t>
  </si>
  <si>
    <t>378</t>
  </si>
  <si>
    <t>The Phantom Tollbooth</t>
  </si>
  <si>
    <t>Norton Juster</t>
  </si>
  <si>
    <t>1961</t>
  </si>
  <si>
    <t>70420</t>
  </si>
  <si>
    <t>The Undercover Economist</t>
  </si>
  <si>
    <t>Tim Harford</t>
  </si>
  <si>
    <t>62047992</t>
  </si>
  <si>
    <t>Days at the Morisaki Bookshop (Days at the Morisaki Bookshop, #1)</t>
  </si>
  <si>
    <t>Satoshi Yagisawa</t>
  </si>
  <si>
    <t>150</t>
  </si>
  <si>
    <t>11468377</t>
  </si>
  <si>
    <t>Thinking, Fast and Slow</t>
  </si>
  <si>
    <t>Daniel Kahneman</t>
  </si>
  <si>
    <t>Farrar, Straus and Giroux</t>
  </si>
  <si>
    <t>499</t>
  </si>
  <si>
    <t>52379413</t>
  </si>
  <si>
    <t>Madonna in a Fur Coat</t>
  </si>
  <si>
    <t>Sabahattin Ali</t>
  </si>
  <si>
    <t>1943</t>
  </si>
  <si>
    <t>29358559</t>
  </si>
  <si>
    <t>Upstream: Selected Essays</t>
  </si>
  <si>
    <t>Mary Oliver</t>
  </si>
  <si>
    <t>178</t>
  </si>
  <si>
    <t>241823</t>
  </si>
  <si>
    <t>Women Who Run With the Wolves</t>
  </si>
  <si>
    <t>Clarissa Pinkola Estés</t>
  </si>
  <si>
    <t>537</t>
  </si>
  <si>
    <t>248665</t>
  </si>
  <si>
    <t>A Spy in the House of Love (Cities of the Interior, #4)</t>
  </si>
  <si>
    <t>Anaïs Nin</t>
  </si>
  <si>
    <t>Pocket Books</t>
  </si>
  <si>
    <t>166</t>
  </si>
  <si>
    <t>1954</t>
  </si>
  <si>
    <t>dnf</t>
  </si>
  <si>
    <t>24453082</t>
  </si>
  <si>
    <t>Big Magic: Creative Living Beyond Fear</t>
  </si>
  <si>
    <t>Elizabeth Gilbert</t>
  </si>
  <si>
    <t>46041465</t>
  </si>
  <si>
    <t>Everything I Know About Love</t>
  </si>
  <si>
    <t>Dolly Alderton</t>
  </si>
  <si>
    <t>59151</t>
  </si>
  <si>
    <t>Chess Story</t>
  </si>
  <si>
    <t>Stefan Zweig</t>
  </si>
  <si>
    <t>104</t>
  </si>
  <si>
    <t>1942</t>
  </si>
  <si>
    <t>18918079</t>
  </si>
  <si>
    <t>The Post-Office Girl</t>
  </si>
  <si>
    <t>54996</t>
  </si>
  <si>
    <t>Transparent Things</t>
  </si>
  <si>
    <t>105</t>
  </si>
  <si>
    <t>1972</t>
  </si>
  <si>
    <t>3526</t>
  </si>
  <si>
    <t>First Love, Last Rites</t>
  </si>
  <si>
    <t>Ian McEwan</t>
  </si>
  <si>
    <t>165</t>
  </si>
  <si>
    <t>1975</t>
  </si>
  <si>
    <t>6553843</t>
  </si>
  <si>
    <t>Hard Rain Falling</t>
  </si>
  <si>
    <t>Don Carpenter</t>
  </si>
  <si>
    <t>1966</t>
  </si>
  <si>
    <t>6294</t>
  </si>
  <si>
    <t>Howl's Moving Castle (Howl's Moving Castle, #1)</t>
  </si>
  <si>
    <t>Diana Wynne Jones</t>
  </si>
  <si>
    <t>329</t>
  </si>
  <si>
    <t>1986</t>
  </si>
  <si>
    <t>6751</t>
  </si>
  <si>
    <t>Consider the Lobster and Other Essays</t>
  </si>
  <si>
    <t>David Foster Wallace</t>
  </si>
  <si>
    <t>343</t>
  </si>
  <si>
    <t>424</t>
  </si>
  <si>
    <t>Slouching Towards Bethlehem</t>
  </si>
  <si>
    <t>Joan Didion</t>
  </si>
  <si>
    <t>238</t>
  </si>
  <si>
    <t>1968</t>
  </si>
  <si>
    <t>386162</t>
  </si>
  <si>
    <t>The Hitchhiker's Guide to the Galaxy (The Hitchhiker's Guide to the Galaxy, #1)</t>
  </si>
  <si>
    <t>Douglas Adams</t>
  </si>
  <si>
    <t>193</t>
  </si>
  <si>
    <t>4016515</t>
  </si>
  <si>
    <t>Letter to My Daughter</t>
  </si>
  <si>
    <t>Maya Angelou</t>
  </si>
  <si>
    <t>113205</t>
  </si>
  <si>
    <t>Heart of a Dog</t>
  </si>
  <si>
    <t>Mikhail Bulgakov</t>
  </si>
  <si>
    <t>123</t>
  </si>
  <si>
    <t>24874312</t>
  </si>
  <si>
    <t>The Nose (Penguin Little Black Classics, #46)</t>
  </si>
  <si>
    <t>Nikolai Gogol</t>
  </si>
  <si>
    <t>53</t>
  </si>
  <si>
    <t>1836</t>
  </si>
  <si>
    <t>24874303</t>
  </si>
  <si>
    <t>The Tell-Tale Heart (Penguin Little Black Classics, #31)</t>
  </si>
  <si>
    <t>Edgar Allan Poe</t>
  </si>
  <si>
    <t>48</t>
  </si>
  <si>
    <t>1843</t>
  </si>
  <si>
    <t>6219656</t>
  </si>
  <si>
    <t>The Lottery</t>
  </si>
  <si>
    <t>Shirley Jackson</t>
  </si>
  <si>
    <t>Perfection Learning</t>
  </si>
  <si>
    <t>30</t>
  </si>
  <si>
    <t>1948</t>
  </si>
  <si>
    <t>286957</t>
  </si>
  <si>
    <t>The Yellow Wall-Paper</t>
  </si>
  <si>
    <t>Charlotte Perkins Gilman</t>
  </si>
  <si>
    <t>The Feminist Press at CUNY</t>
  </si>
  <si>
    <t>62</t>
  </si>
  <si>
    <t>1892</t>
  </si>
  <si>
    <t>168668</t>
  </si>
  <si>
    <t>Catch-22</t>
  </si>
  <si>
    <t>Joseph Heller</t>
  </si>
  <si>
    <t xml:space="preserve">Simon &amp; Schuster </t>
  </si>
  <si>
    <t>453</t>
  </si>
  <si>
    <t>28686959</t>
  </si>
  <si>
    <t>Based on a True Story: A Memoir</t>
  </si>
  <si>
    <t>Norm Macdonald</t>
  </si>
  <si>
    <t>285092</t>
  </si>
  <si>
    <t>High Fidelity</t>
  </si>
  <si>
    <t>Nick Hornby</t>
  </si>
  <si>
    <t>323</t>
  </si>
  <si>
    <t>123416634</t>
  </si>
  <si>
    <t>Such a Good Liar</t>
  </si>
  <si>
    <t>Sue Wallman</t>
  </si>
  <si>
    <t>3.3</t>
  </si>
  <si>
    <t>12067</t>
  </si>
  <si>
    <t>Good Omens: The Nice and Accurate Prophecies of Agnes Nutter, Witch</t>
  </si>
  <si>
    <t>Terry Pratchett</t>
  </si>
  <si>
    <t>491</t>
  </si>
  <si>
    <t>1990</t>
  </si>
  <si>
    <t>9951114</t>
  </si>
  <si>
    <t>Earwig and the Witch</t>
  </si>
  <si>
    <t>140</t>
  </si>
  <si>
    <t>40740914</t>
  </si>
  <si>
    <t>If Cats Disappeared from the World</t>
  </si>
  <si>
    <t>Genki Kawamura</t>
  </si>
  <si>
    <t>Picador</t>
  </si>
  <si>
    <t>202</t>
  </si>
  <si>
    <t>10569</t>
  </si>
  <si>
    <t>On Writing: A Memoir of the Craft</t>
  </si>
  <si>
    <t>Stephen King</t>
  </si>
  <si>
    <t>43306206</t>
  </si>
  <si>
    <t>The Courage to Be Disliked: How to Free Yourself, Change Your Life and Achieve Real Happiness</t>
  </si>
  <si>
    <t>Ichiro Kishimi</t>
  </si>
  <si>
    <t>Allen &amp; Unwin</t>
  </si>
  <si>
    <t>28819132</t>
  </si>
  <si>
    <t>A Little History of Religion</t>
  </si>
  <si>
    <t>Richard Holloway</t>
  </si>
  <si>
    <t>Yale University Press</t>
  </si>
  <si>
    <t>230733</t>
  </si>
  <si>
    <t>Straw Dogs: Thoughts on Humans and Other Animals</t>
  </si>
  <si>
    <t>John Gray</t>
  </si>
  <si>
    <t>Granta Books</t>
  </si>
  <si>
    <t>125116554</t>
  </si>
  <si>
    <t>Same as Ever: A Guide to What Never Changes</t>
  </si>
  <si>
    <t>Morgan Housel</t>
  </si>
  <si>
    <t>20893477</t>
  </si>
  <si>
    <t>How We Got to Now: Six Innovations That Made the Modern World</t>
  </si>
  <si>
    <t>Steven Johnson</t>
  </si>
  <si>
    <t>293</t>
  </si>
  <si>
    <t>90590134</t>
  </si>
  <si>
    <t>The Coming Wave: Technology, Power, and the Twenty-first Century's Greatest Dilemma</t>
  </si>
  <si>
    <t>Mustafa Suleyman</t>
  </si>
  <si>
    <t>332</t>
  </si>
  <si>
    <t>615570</t>
  </si>
  <si>
    <t>The Artist's Way: A Spiritual Path to Higher Creativity</t>
  </si>
  <si>
    <t>Julia Cameron</t>
  </si>
  <si>
    <t>Jeremy P. Tarcher</t>
  </si>
  <si>
    <t>237</t>
  </si>
  <si>
    <t>7815</t>
  </si>
  <si>
    <t>The Year of Magical Thinking</t>
  </si>
  <si>
    <t>227</t>
  </si>
  <si>
    <t>32191710</t>
  </si>
  <si>
    <t>Astrophysics for People in a Hurry</t>
  </si>
  <si>
    <t>Neil deGrasse Tyson</t>
  </si>
  <si>
    <t>223</t>
  </si>
  <si>
    <t>198220896</t>
  </si>
  <si>
    <t>Talk to Strangers: The Yes Theory Story</t>
  </si>
  <si>
    <t>Matt Dahlia</t>
  </si>
  <si>
    <t>Yes Theory LLC</t>
  </si>
  <si>
    <t>234</t>
  </si>
  <si>
    <t>40611510</t>
  </si>
  <si>
    <t>The Last Lecture</t>
  </si>
  <si>
    <t>Randy Pausch</t>
  </si>
  <si>
    <t>Hachette Books</t>
  </si>
  <si>
    <t>217</t>
  </si>
  <si>
    <t>24612009</t>
  </si>
  <si>
    <t>Every Time I Find the Meaning of Life, They Change It: Wisdom of the Great Philosophers on How to Live</t>
  </si>
  <si>
    <t>Daniel Klein</t>
  </si>
  <si>
    <t>210</t>
  </si>
  <si>
    <t>6900</t>
  </si>
  <si>
    <t>Tuesdays with Morrie: An Old Man, a Young Man, and Life's Greatest Lesson</t>
  </si>
  <si>
    <t>Warner</t>
  </si>
  <si>
    <t>52036</t>
  </si>
  <si>
    <t>Siddhartha</t>
  </si>
  <si>
    <t>Hermann Hesse</t>
  </si>
  <si>
    <t>152</t>
  </si>
  <si>
    <t>1922</t>
  </si>
  <si>
    <t>24965</t>
  </si>
  <si>
    <t>Fear and Trembling</t>
  </si>
  <si>
    <t>Søren Kierkegaard</t>
  </si>
  <si>
    <t>24874370</t>
  </si>
  <si>
    <t>The Dhammapada</t>
  </si>
  <si>
    <t>Anonymous</t>
  </si>
  <si>
    <t>-400</t>
  </si>
  <si>
    <t>123271313</t>
  </si>
  <si>
    <t>Free for All: Why the NHS Is Worth Saving</t>
  </si>
  <si>
    <t>Gavin Francis</t>
  </si>
  <si>
    <t>Wellcome Collection</t>
  </si>
  <si>
    <t>36481028</t>
  </si>
  <si>
    <t>4000 Weeks</t>
  </si>
  <si>
    <t>Robert Bosman</t>
  </si>
  <si>
    <t>2BeWise</t>
  </si>
  <si>
    <t>164</t>
  </si>
  <si>
    <t>781844</t>
  </si>
  <si>
    <t>On Death and Dying: What the Dying Have to Teach Doctors, Nurses, Clergy and Their Own Families</t>
  </si>
  <si>
    <t>Elisabeth Kí¼bler-Ross</t>
  </si>
  <si>
    <t>1969</t>
  </si>
  <si>
    <t>3228917</t>
  </si>
  <si>
    <t>Outliers: The Story of Success</t>
  </si>
  <si>
    <t>309</t>
  </si>
  <si>
    <t>623647</t>
  </si>
  <si>
    <t>Present Moment Wonderful Moment: Mindfulness Verses for Daily Living</t>
  </si>
  <si>
    <t>Parallax Press</t>
  </si>
  <si>
    <t>78</t>
  </si>
  <si>
    <t>177148776</t>
  </si>
  <si>
    <t>It Lasts Forever and Then It's Over</t>
  </si>
  <si>
    <t>Anne de Marcken</t>
  </si>
  <si>
    <t>New Directions</t>
  </si>
  <si>
    <t>89717</t>
  </si>
  <si>
    <t>The Haunting of Hill House</t>
  </si>
  <si>
    <t>1959</t>
  </si>
  <si>
    <t>1885</t>
  </si>
  <si>
    <t>Pride and Prejudice</t>
  </si>
  <si>
    <t>Modern Library</t>
  </si>
  <si>
    <t>279</t>
  </si>
  <si>
    <t>1813</t>
  </si>
  <si>
    <t>2657</t>
  </si>
  <si>
    <t>To Kill a Mockingbird</t>
  </si>
  <si>
    <t>Harper Lee</t>
  </si>
  <si>
    <t>1960</t>
  </si>
  <si>
    <t>18478222</t>
  </si>
  <si>
    <t>Twelve Years a Slave</t>
  </si>
  <si>
    <t>Solomon Northup</t>
  </si>
  <si>
    <t>Eakin Films &amp; Publishing</t>
  </si>
  <si>
    <t>363</t>
  </si>
  <si>
    <t>1853</t>
  </si>
  <si>
    <t>50398</t>
  </si>
  <si>
    <t>Northanger Abbey</t>
  </si>
  <si>
    <t>Barnes &amp; Noble Classics</t>
  </si>
  <si>
    <t>258079</t>
  </si>
  <si>
    <t>The Go-Between</t>
  </si>
  <si>
    <t>L.P. Hartley</t>
  </si>
  <si>
    <t>326</t>
  </si>
  <si>
    <t>112974860</t>
  </si>
  <si>
    <t>How to Know a Person: The Art of Seeing Others Deeply and Being Deeply Seen</t>
  </si>
  <si>
    <t>David Brooks</t>
  </si>
  <si>
    <t>306</t>
  </si>
  <si>
    <t>52867387</t>
  </si>
  <si>
    <t>Beach Read</t>
  </si>
  <si>
    <t>Emily Henry</t>
  </si>
  <si>
    <t>Berkley</t>
  </si>
  <si>
    <t>358</t>
  </si>
  <si>
    <t>24874324</t>
  </si>
  <si>
    <t>How Much Land Does a Man Need?</t>
  </si>
  <si>
    <t>Leo Tolstoy</t>
  </si>
  <si>
    <t>1886</t>
  </si>
  <si>
    <t>11346</t>
  </si>
  <si>
    <t>Sula</t>
  </si>
  <si>
    <t>174</t>
  </si>
  <si>
    <t>1973</t>
  </si>
  <si>
    <t>4069</t>
  </si>
  <si>
    <t>Man's Search for Meaning</t>
  </si>
  <si>
    <t>Viktor E. Frankl</t>
  </si>
  <si>
    <t>Beacon Press</t>
  </si>
  <si>
    <t>1946</t>
  </si>
  <si>
    <t>2153998</t>
  </si>
  <si>
    <t>I, Pencil: My Family Tree As Told to Leonard E. Read</t>
  </si>
  <si>
    <t>Leonard Edward Read</t>
  </si>
  <si>
    <t>The Foundation for Economic Ed</t>
  </si>
  <si>
    <t>11</t>
  </si>
  <si>
    <t>58784475</t>
  </si>
  <si>
    <t>Tomorrow, and Tomorrow, and Tomorrow</t>
  </si>
  <si>
    <t>Gabrielle Zevin</t>
  </si>
  <si>
    <t>416</t>
  </si>
  <si>
    <t>18373</t>
  </si>
  <si>
    <t>Flowers for Algernon</t>
  </si>
  <si>
    <t>Daniel Keyes</t>
  </si>
  <si>
    <t>Harvest Books</t>
  </si>
  <si>
    <t>311</t>
  </si>
  <si>
    <t>24874342</t>
  </si>
  <si>
    <t>A Modest Proposal</t>
  </si>
  <si>
    <t>Jonathan Swift</t>
  </si>
  <si>
    <t>56</t>
  </si>
  <si>
    <t>1729</t>
  </si>
  <si>
    <t>24874318</t>
  </si>
  <si>
    <t>Socrates' Defence</t>
  </si>
  <si>
    <t>Plato</t>
  </si>
  <si>
    <t>-399</t>
  </si>
  <si>
    <t>370493</t>
  </si>
  <si>
    <t>The Giving Tree</t>
  </si>
  <si>
    <t>Shel Silverstein</t>
  </si>
  <si>
    <t>81779</t>
  </si>
  <si>
    <t>The Symposium</t>
  </si>
  <si>
    <t>90</t>
  </si>
  <si>
    <t>-380</t>
  </si>
  <si>
    <t>40597810</t>
  </si>
  <si>
    <t>Daisy Jones &amp; The Six</t>
  </si>
  <si>
    <t>35959740</t>
  </si>
  <si>
    <t>Circe</t>
  </si>
  <si>
    <t>393</t>
  </si>
  <si>
    <t>206318521</t>
  </si>
  <si>
    <t>Just Kids</t>
  </si>
  <si>
    <t>Ecco</t>
  </si>
  <si>
    <t>262</t>
  </si>
  <si>
    <t>3063393</t>
  </si>
  <si>
    <t>Pragmatic Thinking and Learning: Refactor Your Wetware</t>
  </si>
  <si>
    <t>Andy Hunt</t>
  </si>
  <si>
    <t>Pragmatic Programmers, LLC, The</t>
  </si>
  <si>
    <t>295</t>
  </si>
  <si>
    <t>Treasure Island</t>
  </si>
  <si>
    <t>Robert Louis Stevenson</t>
  </si>
  <si>
    <t>Kingfisher</t>
  </si>
  <si>
    <t>1882</t>
  </si>
  <si>
    <t>60657589</t>
  </si>
  <si>
    <t>Emily Wilde's Encyclopaedia of Faeries (Emily Wilde, #1)</t>
  </si>
  <si>
    <t>Heather Fawcett</t>
  </si>
  <si>
    <t>317</t>
  </si>
  <si>
    <t>581552</t>
  </si>
  <si>
    <t>In the Penal Colony</t>
  </si>
  <si>
    <t>Schocken Books</t>
  </si>
  <si>
    <t>52</t>
  </si>
  <si>
    <t>1918</t>
  </si>
  <si>
    <t>54875689</t>
  </si>
  <si>
    <t>A Bright Ray of Darkness</t>
  </si>
  <si>
    <t>Ethan Hawke</t>
  </si>
  <si>
    <t>32998876</t>
  </si>
  <si>
    <t>101 Essays That Will Change The Way You Think</t>
  </si>
  <si>
    <t>450</t>
  </si>
  <si>
    <t>59149</t>
  </si>
  <si>
    <t>Beware of Pity</t>
  </si>
  <si>
    <t>353</t>
  </si>
  <si>
    <t>1939</t>
  </si>
  <si>
    <t>4442700</t>
  </si>
  <si>
    <t>Climate Wars</t>
  </si>
  <si>
    <t>Gwynne Dyer</t>
  </si>
  <si>
    <t>59575929</t>
  </si>
  <si>
    <t>The Light We Give: How Sikh Wisdom Can Transform Your Life</t>
  </si>
  <si>
    <t>Simran Jeet Singh</t>
  </si>
  <si>
    <t>37570546</t>
  </si>
  <si>
    <t>Maybe You Should Talk to Someone: A Therapist, Her Therapist, and Our Lives Revealed</t>
  </si>
  <si>
    <t>Lori Gottlieb</t>
  </si>
  <si>
    <t>7072758</t>
  </si>
  <si>
    <t>Animals</t>
  </si>
  <si>
    <t>Don LePan</t>
  </si>
  <si>
    <t>Broadview Press</t>
  </si>
  <si>
    <t>55410610</t>
  </si>
  <si>
    <t>Panenka</t>
  </si>
  <si>
    <t>Ronan Hession</t>
  </si>
  <si>
    <t xml:space="preserve">Bluemoose </t>
  </si>
  <si>
    <t>38462</t>
  </si>
  <si>
    <t>Giovanni's Room</t>
  </si>
  <si>
    <t>James Baldwin</t>
  </si>
  <si>
    <t>159</t>
  </si>
  <si>
    <t>1956</t>
  </si>
  <si>
    <t>41795733</t>
  </si>
  <si>
    <t>Range: Why Generalists Triumph in a Specialized World</t>
  </si>
  <si>
    <t>David Epstein</t>
  </si>
  <si>
    <t>339</t>
  </si>
  <si>
    <t>38232376</t>
  </si>
  <si>
    <t>Nine Pints: A Journey Through the Money, Medicine, and Mysteries of Blood</t>
  </si>
  <si>
    <t>Rose George</t>
  </si>
  <si>
    <t>49090884</t>
  </si>
  <si>
    <t>Tender Is the Flesh</t>
  </si>
  <si>
    <t>Agustina Bazterrica</t>
  </si>
  <si>
    <t>209</t>
  </si>
  <si>
    <t>25899336</t>
  </si>
  <si>
    <t>When Breath Becomes Air</t>
  </si>
  <si>
    <t>Paul Kalanithi</t>
  </si>
  <si>
    <t>49552</t>
  </si>
  <si>
    <t>The Stranger</t>
  </si>
  <si>
    <t>Albert Camus</t>
  </si>
  <si>
    <t>7641110</t>
  </si>
  <si>
    <t>Life Is What You Make It: Find Your Own Path to Fulfillment</t>
  </si>
  <si>
    <t>Peter Buffett</t>
  </si>
  <si>
    <t>272</t>
  </si>
  <si>
    <t>60049471</t>
  </si>
  <si>
    <t>The Day I Die: The Untold Story of Assisted Dying in America</t>
  </si>
  <si>
    <t>Anita Hannig</t>
  </si>
  <si>
    <t>139400713</t>
  </si>
  <si>
    <t>Martyr!</t>
  </si>
  <si>
    <t>Kaveh Akbar</t>
  </si>
  <si>
    <t>189531</t>
  </si>
  <si>
    <t>The Man Who Fed the World: Nobel Peace Prize Laureate Norman Borlaug and His Battle to End World Hunger</t>
  </si>
  <si>
    <t>Leon Hesser</t>
  </si>
  <si>
    <t>Durban House Pub Co Inc</t>
  </si>
  <si>
    <t>297</t>
  </si>
  <si>
    <t>35957157</t>
  </si>
  <si>
    <t>Thinking in Bets: Making Smarter Decisions When You Don't Have All the Facts</t>
  </si>
  <si>
    <t>Annie Duke</t>
  </si>
  <si>
    <t>46199</t>
  </si>
  <si>
    <t>Letters to a Young Poet</t>
  </si>
  <si>
    <t>Rainer Maria Rilke</t>
  </si>
  <si>
    <t>Dover Publications</t>
  </si>
  <si>
    <t>80</t>
  </si>
  <si>
    <t>1929</t>
  </si>
  <si>
    <t>60151826</t>
  </si>
  <si>
    <t>I'm a Fan</t>
  </si>
  <si>
    <t>Sheena Patel</t>
  </si>
  <si>
    <t>3.2</t>
  </si>
  <si>
    <t>Rough Trade Books</t>
  </si>
  <si>
    <t>207</t>
  </si>
  <si>
    <t>25744928</t>
  </si>
  <si>
    <t>Deep Work: Rules for Focused Success in a Distracted World</t>
  </si>
  <si>
    <t>10639</t>
  </si>
  <si>
    <t>The Paradox of Choice: Why More Is Less</t>
  </si>
  <si>
    <t>Barry Schwartz</t>
  </si>
  <si>
    <t>265</t>
  </si>
  <si>
    <t>13525945</t>
  </si>
  <si>
    <t>So Good They Can't Ignore You: Why Skills Trump Passion in the Quest for Work You Love</t>
  </si>
  <si>
    <t>Business Plus</t>
  </si>
  <si>
    <t>142402923</t>
  </si>
  <si>
    <t>Feel-Good Productivity: How to Do More of What Matters to You</t>
  </si>
  <si>
    <t>Ali Abdaal</t>
  </si>
  <si>
    <t>92303</t>
  </si>
  <si>
    <t>The Importance of Being Earnest</t>
  </si>
  <si>
    <t>Oscar Wilde</t>
  </si>
  <si>
    <t>Prestwick House</t>
  </si>
  <si>
    <t>89</t>
  </si>
  <si>
    <t>1895</t>
  </si>
  <si>
    <t>41022133</t>
  </si>
  <si>
    <t>Colorless Tsukuru Tazaki and His Years of Pilgrimage</t>
  </si>
  <si>
    <t>Haruki Murakami</t>
  </si>
  <si>
    <t>2</t>
  </si>
  <si>
    <t>59364173</t>
  </si>
  <si>
    <t>I'm Glad My Mom Died</t>
  </si>
  <si>
    <t>Jennette McCurdy</t>
  </si>
  <si>
    <t>123933</t>
  </si>
  <si>
    <t>No Exit</t>
  </si>
  <si>
    <t>Jean-Paul Sartre</t>
  </si>
  <si>
    <t>Concord Theatricals</t>
  </si>
  <si>
    <t>60</t>
  </si>
  <si>
    <t>1944</t>
  </si>
  <si>
    <t>5297</t>
  </si>
  <si>
    <t>The Picture of Dorian Gray</t>
  </si>
  <si>
    <t>1890</t>
  </si>
  <si>
    <t>49455</t>
  </si>
  <si>
    <t>Notes from Underground</t>
  </si>
  <si>
    <t>136</t>
  </si>
  <si>
    <t>1864</t>
  </si>
  <si>
    <t>4900</t>
  </si>
  <si>
    <t>Heart of Darkness</t>
  </si>
  <si>
    <t>Joseph Conrad</t>
  </si>
  <si>
    <t>3.4</t>
  </si>
  <si>
    <t>Green Integer</t>
  </si>
  <si>
    <t>188</t>
  </si>
  <si>
    <t>1899</t>
  </si>
  <si>
    <t>18144590</t>
  </si>
  <si>
    <t>The Alchemist</t>
  </si>
  <si>
    <t>Paulo Coelho</t>
  </si>
  <si>
    <t>160378</t>
  </si>
  <si>
    <t>The Death of Ivan Ilyich (Russian Texts)</t>
  </si>
  <si>
    <t>Bristol Classical Press</t>
  </si>
  <si>
    <t>160</t>
  </si>
  <si>
    <t>2165</t>
  </si>
  <si>
    <t>The Old Man and the Sea</t>
  </si>
  <si>
    <t>Ernest Hemingway</t>
  </si>
  <si>
    <t>96</t>
  </si>
  <si>
    <t>91274427</t>
  </si>
  <si>
    <t>What You Are Looking For Is in the Library</t>
  </si>
  <si>
    <t>Michiko Aoyama</t>
  </si>
  <si>
    <t>Hanover Square Press</t>
  </si>
  <si>
    <t>78311985</t>
  </si>
  <si>
    <t>A Shining</t>
  </si>
  <si>
    <t>Jon Fosse</t>
  </si>
  <si>
    <t>Fitzcarraldo Editions</t>
  </si>
  <si>
    <t>6334</t>
  </si>
  <si>
    <t>Never Let Me Go</t>
  </si>
  <si>
    <t>Kazuo Ishiguro</t>
  </si>
  <si>
    <t xml:space="preserve">Vintage Books </t>
  </si>
  <si>
    <t>32145</t>
  </si>
  <si>
    <t>Stiff: The Curious Lives of Human Cadavers</t>
  </si>
  <si>
    <t>Mary Roach</t>
  </si>
  <si>
    <t>12543</t>
  </si>
  <si>
    <t>Bird by Bird</t>
  </si>
  <si>
    <t>Anne Lamott</t>
  </si>
  <si>
    <t>Anchor</t>
  </si>
  <si>
    <t>1994</t>
  </si>
  <si>
    <t>44525305</t>
  </si>
  <si>
    <t>The Ride of a Lifetime: Lessons Learned from 15 Years as CEO of the Walt Disney Company</t>
  </si>
  <si>
    <t>Robert Iger</t>
  </si>
  <si>
    <t>464260</t>
  </si>
  <si>
    <t>The Fire Next Time</t>
  </si>
  <si>
    <t>106</t>
  </si>
  <si>
    <t>1873060</t>
  </si>
  <si>
    <t>The Go-Giver: A Little Story About a Powerful Business Idea</t>
  </si>
  <si>
    <t>Bob Burg</t>
  </si>
  <si>
    <t>133</t>
  </si>
  <si>
    <t>55835474</t>
  </si>
  <si>
    <t>Nightbitch</t>
  </si>
  <si>
    <t>Rachel Yoder</t>
  </si>
  <si>
    <t>123183412</t>
  </si>
  <si>
    <t>Down the Drain</t>
  </si>
  <si>
    <t>Julia Fox</t>
  </si>
  <si>
    <t>318</t>
  </si>
  <si>
    <t>44279110</t>
  </si>
  <si>
    <t>My Year of Rest and Relaxation</t>
  </si>
  <si>
    <t>Ottessa Moshfegh</t>
  </si>
  <si>
    <t>43890641</t>
  </si>
  <si>
    <t>Hamnet</t>
  </si>
  <si>
    <t>Maggie O'Farrell</t>
  </si>
  <si>
    <t>Tinder Press</t>
  </si>
  <si>
    <t>40603783</t>
  </si>
  <si>
    <t>The Defining Decade: Why Your Twenties Matter—And How to Make the Most of Them Now</t>
  </si>
  <si>
    <t>Meg Jay</t>
  </si>
  <si>
    <t>273</t>
  </si>
  <si>
    <t>36402034</t>
  </si>
  <si>
    <t>Do Androids Dream of Electric Sheep?</t>
  </si>
  <si>
    <t>Philip K. Dick</t>
  </si>
  <si>
    <t>258</t>
  </si>
  <si>
    <t>6656</t>
  </si>
  <si>
    <t>The Divine Comedy: Inferno - Purgatorio - Paradiso</t>
  </si>
  <si>
    <t>Dante Alighieri</t>
  </si>
  <si>
    <t>798</t>
  </si>
  <si>
    <t>1320</t>
  </si>
  <si>
    <t>48987</t>
  </si>
  <si>
    <t>By Grand Central Station I Sat Down and Wept</t>
  </si>
  <si>
    <t>Elizabeth Smart</t>
  </si>
  <si>
    <t>1945</t>
  </si>
  <si>
    <t>54814676</t>
  </si>
  <si>
    <t>Crying in H Mart</t>
  </si>
  <si>
    <t>Michelle Zauner</t>
  </si>
  <si>
    <t>58733693</t>
  </si>
  <si>
    <t>Remarkably Bright Creatures</t>
  </si>
  <si>
    <t>Shelby Van Pelt</t>
  </si>
  <si>
    <t>4929</t>
  </si>
  <si>
    <t>Kafka on the Shore</t>
  </si>
  <si>
    <t>467</t>
  </si>
  <si>
    <t>11297</t>
  </si>
  <si>
    <t>Norwegian Wood</t>
  </si>
  <si>
    <t>9777</t>
  </si>
  <si>
    <t>The God of Small Things</t>
  </si>
  <si>
    <t>Arundhati Roy</t>
  </si>
  <si>
    <t>5907</t>
  </si>
  <si>
    <t>The Hobbit, or There and Back Again</t>
  </si>
  <si>
    <t>J.R.R. Tolkien</t>
  </si>
  <si>
    <t>Houghton Mifflin</t>
  </si>
  <si>
    <t>366</t>
  </si>
  <si>
    <t>128029</t>
  </si>
  <si>
    <t>A Thousand Splendid Suns</t>
  </si>
  <si>
    <t>15811545</t>
  </si>
  <si>
    <t>A Tale for the Time Being</t>
  </si>
  <si>
    <t>Ruth Ozeki</t>
  </si>
  <si>
    <t>432</t>
  </si>
  <si>
    <t>157993</t>
  </si>
  <si>
    <t>The Little Prince</t>
  </si>
  <si>
    <t>Antoine de Saint-Exupéry</t>
  </si>
  <si>
    <t>Harcourt</t>
  </si>
  <si>
    <t>60753613</t>
  </si>
  <si>
    <t>12 Notes: On Life and Creativity</t>
  </si>
  <si>
    <t>Quincy Jones</t>
  </si>
  <si>
    <t>Abrams</t>
  </si>
  <si>
    <t>41881472</t>
  </si>
  <si>
    <t>The Psychology of Money</t>
  </si>
  <si>
    <t>Harriman House</t>
  </si>
  <si>
    <t>242</t>
  </si>
  <si>
    <t>95558</t>
  </si>
  <si>
    <t>Solaris</t>
  </si>
  <si>
    <t>Stanisław Lem</t>
  </si>
  <si>
    <t>204</t>
  </si>
  <si>
    <t>1099301</t>
  </si>
  <si>
    <t>The Name of This Book Is Secret (Secret, #1)</t>
  </si>
  <si>
    <t>Pseudonymous Bosch</t>
  </si>
  <si>
    <t>364</t>
  </si>
  <si>
    <t>1202</t>
  </si>
  <si>
    <t>Freakonomics: A Rogue Economist Explores the Hidden Side of Everything</t>
  </si>
  <si>
    <t>Steven D. Levitt</t>
  </si>
  <si>
    <t>268</t>
  </si>
  <si>
    <t>16181775</t>
  </si>
  <si>
    <t>The Rosie Project (Don Tillman, #1)</t>
  </si>
  <si>
    <t>Graeme Simsion</t>
  </si>
  <si>
    <t>41104077</t>
  </si>
  <si>
    <t>Invisible Women: Data Bias in a World Designed for Men</t>
  </si>
  <si>
    <t>Caroline Criado Pérez</t>
  </si>
  <si>
    <t>23961</t>
  </si>
  <si>
    <t>Marabou Stork Nightmares</t>
  </si>
  <si>
    <t>Irvine Welsh</t>
  </si>
  <si>
    <t>280</t>
  </si>
  <si>
    <t>10883</t>
  </si>
  <si>
    <t>Benjamin Franklin: An American Life</t>
  </si>
  <si>
    <t>Walter Isaacson</t>
  </si>
  <si>
    <t>586</t>
  </si>
  <si>
    <t>50202953</t>
  </si>
  <si>
    <t>Piranesi</t>
  </si>
  <si>
    <t>Susanna Clarke</t>
  </si>
  <si>
    <t>51496</t>
  </si>
  <si>
    <t>Dr. Jekyll and Mr. Hyde</t>
  </si>
  <si>
    <t>139</t>
  </si>
  <si>
    <t>108978</t>
  </si>
  <si>
    <t>Slaughterhouse-Five</t>
  </si>
  <si>
    <t>Kurt Vonnegut Jr.</t>
  </si>
  <si>
    <t>157</t>
  </si>
  <si>
    <t>1618</t>
  </si>
  <si>
    <t>The Curious Incident of the Dog in the Night-Time</t>
  </si>
  <si>
    <t>Mark Haddon</t>
  </si>
  <si>
    <t>1622</t>
  </si>
  <si>
    <t>A Midsummer Night's Dream</t>
  </si>
  <si>
    <t>William Shakespeare</t>
  </si>
  <si>
    <t>298</t>
  </si>
  <si>
    <t>1595</t>
  </si>
  <si>
    <t>35074096</t>
  </si>
  <si>
    <t>Mythos: The Greek Myths Retold (Stephen Fry's Great Mythology, #1)</t>
  </si>
  <si>
    <t>Stephen Fry</t>
  </si>
  <si>
    <t>Michael Joseph</t>
  </si>
  <si>
    <t>12000020</t>
  </si>
  <si>
    <t>Aristotle and Dante Discover the Secrets of the Universe (Aristotle and Dante, #1)</t>
  </si>
  <si>
    <t>Benjamin Alire Sáenz</t>
  </si>
  <si>
    <t>390</t>
  </si>
  <si>
    <t>45047384</t>
  </si>
  <si>
    <t>The House in the Cerulean Sea (Cerulean Chronicles, #1)</t>
  </si>
  <si>
    <t>T.J. Klune</t>
  </si>
  <si>
    <t>Tor Books</t>
  </si>
  <si>
    <t>3636</t>
  </si>
  <si>
    <t>The Giver (The Giver, #1)</t>
  </si>
  <si>
    <t>Lois Lowry</t>
  </si>
  <si>
    <t>Ember</t>
  </si>
  <si>
    <t>1993</t>
  </si>
  <si>
    <t>5129</t>
  </si>
  <si>
    <t>Brave New World</t>
  </si>
  <si>
    <t>Aldous Huxley</t>
  </si>
  <si>
    <t>1932</t>
  </si>
  <si>
    <t>40121378</t>
  </si>
  <si>
    <t>Atomic Habits: An Easy &amp; Proven Way to Build Good Habits &amp; Break Bad Ones</t>
  </si>
  <si>
    <t>James Clear</t>
  </si>
  <si>
    <t>319</t>
  </si>
  <si>
    <t>17688</t>
  </si>
  <si>
    <t>The Metamorphosis, In the Penal Colony, and Other Stories: The Great Short Works of Franz Kafka</t>
  </si>
  <si>
    <t>17690</t>
  </si>
  <si>
    <t>The Trial</t>
  </si>
  <si>
    <t>255</t>
  </si>
  <si>
    <t>7624</t>
  </si>
  <si>
    <t>Lord of the Flies</t>
  </si>
  <si>
    <t>William Golding</t>
  </si>
  <si>
    <t>28257707</t>
  </si>
  <si>
    <t>The Subtle Art of Not Giving a F*ck: A Counterintuitive Approach to Living a Good Life</t>
  </si>
  <si>
    <t>Mark Manson</t>
  </si>
  <si>
    <t>212</t>
  </si>
  <si>
    <t>38447</t>
  </si>
  <si>
    <t>The Handmaid's Tale (The Handmaid's Tale, #1)</t>
  </si>
  <si>
    <t>Margaret Atwood</t>
  </si>
  <si>
    <t>135479</t>
  </si>
  <si>
    <t>Cat's Cradle</t>
  </si>
  <si>
    <t>908053</t>
  </si>
  <si>
    <t>Diana: Her True Story in Her Own Words</t>
  </si>
  <si>
    <t>Andrew Morton</t>
  </si>
  <si>
    <t>747746</t>
  </si>
  <si>
    <t>The Curious Case of Benjamin Button</t>
  </si>
  <si>
    <t>16299</t>
  </si>
  <si>
    <t>And Then There Were None</t>
  </si>
  <si>
    <t>Agatha Christie</t>
  </si>
  <si>
    <t>264</t>
  </si>
  <si>
    <t>277658</t>
  </si>
  <si>
    <t>The Pattern on the Stone: The Simple Ideas that Make Computers Work</t>
  </si>
  <si>
    <t>William Daniel Hillis</t>
  </si>
  <si>
    <t>1998</t>
  </si>
  <si>
    <t>18135</t>
  </si>
  <si>
    <t>Romeo and Juliet</t>
  </si>
  <si>
    <t>Washington Square Press</t>
  </si>
  <si>
    <t>281</t>
  </si>
  <si>
    <t>1590</t>
  </si>
  <si>
    <t>17563539</t>
  </si>
  <si>
    <t>The Egg</t>
  </si>
  <si>
    <t>Andy Weir</t>
  </si>
  <si>
    <t>Andy Weir / Galactanet</t>
  </si>
  <si>
    <t>900682</t>
  </si>
  <si>
    <t>An Inspector Calls</t>
  </si>
  <si>
    <t>J.B. Priestley</t>
  </si>
  <si>
    <t>Reclam</t>
  </si>
  <si>
    <t>34272565</t>
  </si>
  <si>
    <t>Life 3.0: Being Human in the Age of Artificial Intelligence</t>
  </si>
  <si>
    <t>Max Tegmark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</si>
</sst>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F111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2" fontId="0" fillId="0" borderId="0" xfId="0" applyNumberFormat="1" applyAlignment="1">
      <alignment wrapText="1"/>
    </xf>
    <xf numFmtId="0" fontId="18" fillId="0" borderId="0" xfId="0" applyFont="1"/>
    <xf numFmtId="0" fontId="19" fillId="0" borderId="0" xfId="0" applyFont="1"/>
    <xf numFmtId="1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E7464-B0A9-4823-B69B-25984DF06764}" name="Table3" displayName="Table3" ref="A1:O320" totalsRowShown="0">
  <autoFilter ref="A1:O320" xr:uid="{3A89B47E-E046-402D-B708-99FE4AE017A4}"/>
  <tableColumns count="15">
    <tableColumn id="1" xr3:uid="{A7364AAE-704D-4E68-AD3F-44309A3442A2}" name="Book ID" dataDxfId="8"/>
    <tableColumn id="2" xr3:uid="{569FE37C-5115-4A2C-AC92-86FDCA1835A3}" name="Title"/>
    <tableColumn id="3" xr3:uid="{0B60ACB8-6D1F-4189-9474-9F030D7B91CF}" name="Author"/>
    <tableColumn id="4" xr3:uid="{63C2A5E4-451B-451B-90C4-87BF758D6E3A}" name="My Rating" dataDxfId="7"/>
    <tableColumn id="5" xr3:uid="{7DF50042-1C1D-4E9F-B85A-B4E0352CB10E}" name="My Rating NEW" dataDxfId="6">
      <calculatedColumnFormula>IF(D2="0","no rating", D2)</calculatedColumnFormula>
    </tableColumn>
    <tableColumn id="6" xr3:uid="{5EEE5C63-0A7B-42F3-A9EB-01EE0F6E4051}" name="Average Rating" dataDxfId="5"/>
    <tableColumn id="7" xr3:uid="{93030E2A-B057-4733-BC08-A021C2531B7F}" name="Publisher"/>
    <tableColumn id="8" xr3:uid="{BC03C3C8-11A9-47DA-9571-3B9B6ED34B83}" name="Number of Pages" dataDxfId="4"/>
    <tableColumn id="9" xr3:uid="{BB478A54-E6DD-4969-9740-CE6BCD34D809}" name="Book Length" dataDxfId="3">
      <calculatedColumnFormula array="1">_xlfn.IFS(VALUE(TRIM(H2))&lt;300,"Short",VALUE(TRIM(H2))&lt;450,"Medium",VALUE(TRIM(H2))&lt;750,"Long",TRUE,"Very Long")</calculatedColumnFormula>
    </tableColumn>
    <tableColumn id="10" xr3:uid="{3ECF064C-9821-4DD7-AAB9-FB55D6AF5607}" name="Original Publication Year"/>
    <tableColumn id="11" xr3:uid="{C6676C17-FE5B-4F1C-9678-F20FC5215793}" name="Publication Century">
      <calculatedColumnFormula array="1">_xlfn.IFS(VALUE(TRIM(J2))&lt;0,"BC",VALUE(TRIM(J2))&lt;200,"100",VALUE(TRIM(J2))&lt;800,"700",VALUE(TRIM(J2))&lt;900,"800",VALUE(TRIM(J2))&lt;1000,"900",VALUE(TRIM(J2))&lt;1100,"1000",VALUE(TRIM(J2))&lt;1200,"1100",VALUE(TRIM(J2))&lt;1300,"1200",VALUE(TRIM(J2))&lt;1400,"1300",VALUE(TRIM(J2))&lt;1500,"1400",VALUE(TRIM(J2))&lt;1600,"1500",VALUE(TRIM(J2))&lt;1700,"1600",VALUE(TRIM(J2))&lt;1800,"1700",VALUE(TRIM(J2))&lt;1900,"1800",VALUE(TRIM(J2))&lt;2000,"1900",VALUE(TRIM(J2))&lt;2100,"2000")</calculatedColumnFormula>
    </tableColumn>
    <tableColumn id="12" xr3:uid="{80E61DFF-27C6-4030-8D47-10B9D91AD8CF}" name="Date Read" dataDxfId="2"/>
    <tableColumn id="13" xr3:uid="{EEE87AF0-698A-4C7B-8A3E-0ED8E51CA7D0}" name="Date Read (Month/Year)" dataDxfId="1">
      <calculatedColumnFormula>IF(L2="","",TEXT(L2,"mm/yyyy"))</calculatedColumnFormula>
    </tableColumn>
    <tableColumn id="14" xr3:uid="{E3BE7B95-A4A9-4DAE-B047-488F266F982C}" name="Date Read NEW" dataDxfId="0">
      <calculatedColumnFormula>IF(L2="","not read",L2)</calculatedColumnFormula>
    </tableColumn>
    <tableColumn id="15" xr3:uid="{1193C484-AD74-4E47-88B0-0097C2A665CF}" name="Exclusive Shel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B47E-E046-402D-B708-99FE4AE017A4}">
  <dimension ref="A1:O320"/>
  <sheetViews>
    <sheetView tabSelected="1" workbookViewId="0">
      <selection activeCell="O10" sqref="O10"/>
    </sheetView>
  </sheetViews>
  <sheetFormatPr defaultRowHeight="15"/>
  <cols>
    <col min="1" max="1" width="10.5703125" style="2" bestFit="1" customWidth="1"/>
    <col min="2" max="2" width="118.28515625" bestFit="1" customWidth="1"/>
    <col min="3" max="3" width="25.5703125" bestFit="1" customWidth="1"/>
    <col min="4" max="4" width="12" style="2" bestFit="1" customWidth="1"/>
    <col min="5" max="5" width="16.7109375" style="2" bestFit="1" customWidth="1"/>
    <col min="6" max="6" width="16.28515625" style="2" bestFit="1" customWidth="1"/>
    <col min="7" max="7" width="38.42578125" bestFit="1" customWidth="1"/>
    <col min="8" max="8" width="18.140625" style="2" bestFit="1" customWidth="1"/>
    <col min="9" max="9" width="14" style="3" bestFit="1" customWidth="1"/>
    <col min="10" max="10" width="24.5703125" bestFit="1" customWidth="1"/>
    <col min="11" max="11" width="20.28515625" bestFit="1" customWidth="1"/>
    <col min="12" max="12" width="12.140625" style="1" bestFit="1" customWidth="1"/>
    <col min="13" max="13" width="24.5703125" style="1" bestFit="1" customWidth="1"/>
    <col min="14" max="14" width="17" style="1" bestFit="1" customWidth="1"/>
    <col min="15" max="15" width="16" bestFit="1" customWidth="1"/>
  </cols>
  <sheetData>
    <row r="1" spans="1:15" ht="16.5" customHeight="1">
      <c r="A1" s="2" t="s">
        <v>0</v>
      </c>
      <c r="B1" t="s">
        <v>1</v>
      </c>
      <c r="C1" t="s">
        <v>2</v>
      </c>
      <c r="D1" s="2" t="s">
        <v>3</v>
      </c>
      <c r="E1" s="4" t="s">
        <v>4</v>
      </c>
      <c r="F1" s="2" t="s">
        <v>5</v>
      </c>
      <c r="G1" t="s">
        <v>6</v>
      </c>
      <c r="H1" s="2" t="s">
        <v>7</v>
      </c>
      <c r="I1" s="8" t="s">
        <v>8</v>
      </c>
      <c r="J1" t="s">
        <v>9</v>
      </c>
      <c r="K1" t="s">
        <v>10</v>
      </c>
      <c r="L1" s="1" t="s">
        <v>11</v>
      </c>
      <c r="M1" s="7" t="s">
        <v>12</v>
      </c>
      <c r="N1" s="7" t="s">
        <v>13</v>
      </c>
      <c r="O1" t="s">
        <v>14</v>
      </c>
    </row>
    <row r="2" spans="1:15">
      <c r="A2" s="2" t="s">
        <v>15</v>
      </c>
      <c r="B2" t="s">
        <v>16</v>
      </c>
      <c r="C2" t="s">
        <v>17</v>
      </c>
      <c r="D2" s="2" t="s">
        <v>18</v>
      </c>
      <c r="E2" s="2" t="str">
        <f>IF(D2="0","no rating", D2)</f>
        <v>no rating</v>
      </c>
      <c r="F2" s="2" t="s">
        <v>19</v>
      </c>
      <c r="G2" t="s">
        <v>20</v>
      </c>
      <c r="H2" s="2" t="s">
        <v>21</v>
      </c>
      <c r="I2" s="3" t="str" cm="1">
        <f t="array" ref="I2">_xlfn.IFS(VALUE(TRIM(H2))&lt;300,"Short",VALUE(TRIM(H2))&lt;450,"Medium",VALUE(TRIM(H2))&lt;750,"Long",TRUE,"Very Long")</f>
        <v>Long</v>
      </c>
      <c r="J2" t="s">
        <v>22</v>
      </c>
      <c r="K2" t="str" cm="1">
        <f t="array" ref="K2">_xlfn.IFS(VALUE(TRIM(J2))&lt;0,"BC",VALUE(TRIM(J2))&lt;200,"100",VALUE(TRIM(J2))&lt;800,"700",VALUE(TRIM(J2))&lt;900,"800",VALUE(TRIM(J2))&lt;1000,"900",VALUE(TRIM(J2))&lt;1100,"1000",VALUE(TRIM(J2))&lt;1200,"1100",VALUE(TRIM(J2))&lt;1300,"1200",VALUE(TRIM(J2))&lt;1400,"1300",VALUE(TRIM(J2))&lt;1500,"1400",VALUE(TRIM(J2))&lt;1600,"1500",VALUE(TRIM(J2))&lt;1700,"1600",VALUE(TRIM(J2))&lt;1800,"1700",VALUE(TRIM(J2))&lt;1900,"1800",VALUE(TRIM(J2))&lt;2000,"1900",VALUE(TRIM(J2))&lt;2100,"2000")</f>
        <v>1800</v>
      </c>
      <c r="M2" s="1" t="str">
        <f>IF(L2="","",TEXT(L2,"mm/yyyy"))</f>
        <v/>
      </c>
      <c r="N2" s="1" t="str">
        <f>IF(L2="","not read",L2)</f>
        <v>not read</v>
      </c>
      <c r="O2" t="s">
        <v>23</v>
      </c>
    </row>
    <row r="3" spans="1:15">
      <c r="A3" s="2" t="s">
        <v>24</v>
      </c>
      <c r="B3" t="s">
        <v>25</v>
      </c>
      <c r="C3" t="s">
        <v>26</v>
      </c>
      <c r="D3" s="2" t="s">
        <v>27</v>
      </c>
      <c r="E3" s="2" t="str">
        <f t="shared" ref="E3:E66" si="0">IF(D3="0","no rating", D3)</f>
        <v>3</v>
      </c>
      <c r="F3" s="2" t="s">
        <v>28</v>
      </c>
      <c r="G3" t="s">
        <v>29</v>
      </c>
      <c r="H3" s="2" t="s">
        <v>30</v>
      </c>
      <c r="I3" s="3" t="str" cm="1">
        <f t="array" ref="I3">_xlfn.IFS(VALUE(TRIM(H3))&lt;300,"Short",VALUE(TRIM(H3))&lt;450,"Medium",VALUE(TRIM(H3))&lt;750,"Long",TRUE,"Very Long")</f>
        <v>Medium</v>
      </c>
      <c r="J3" t="s">
        <v>31</v>
      </c>
      <c r="K3" t="str" cm="1">
        <f t="array" ref="K3">_xlfn.IFS(VALUE(TRIM(J3))&lt;0,"BC",VALUE(TRIM(J3))&lt;200,"100",VALUE(TRIM(J3))&lt;800,"700",VALUE(TRIM(J3))&lt;900,"800",VALUE(TRIM(J3))&lt;1000,"900",VALUE(TRIM(J3))&lt;1100,"1000",VALUE(TRIM(J3))&lt;1200,"1100",VALUE(TRIM(J3))&lt;1300,"1200",VALUE(TRIM(J3))&lt;1400,"1300",VALUE(TRIM(J3))&lt;1500,"1400",VALUE(TRIM(J3))&lt;1600,"1500",VALUE(TRIM(J3))&lt;1700,"1600",VALUE(TRIM(J3))&lt;1800,"1700",VALUE(TRIM(J3))&lt;1900,"1800",VALUE(TRIM(J3))&lt;2000,"1900",VALUE(TRIM(J3))&lt;2100,"2000")</f>
        <v>2000</v>
      </c>
      <c r="L3" s="1">
        <v>45988</v>
      </c>
      <c r="M3" s="1" t="str">
        <f t="shared" ref="M3:M66" si="1">IF(L3="","",TEXT(L3,"mm/yyyy"))</f>
        <v>11/2025</v>
      </c>
      <c r="N3" s="1">
        <f t="shared" ref="N3:N66" si="2">IF(L3="","not read",L3)</f>
        <v>45988</v>
      </c>
      <c r="O3" t="s">
        <v>32</v>
      </c>
    </row>
    <row r="4" spans="1:15">
      <c r="A4" s="2" t="s">
        <v>33</v>
      </c>
      <c r="B4" t="s">
        <v>34</v>
      </c>
      <c r="C4" t="s">
        <v>35</v>
      </c>
      <c r="D4" s="2" t="s">
        <v>36</v>
      </c>
      <c r="E4" s="2" t="str">
        <f t="shared" si="0"/>
        <v>4</v>
      </c>
      <c r="F4" s="2" t="s">
        <v>36</v>
      </c>
      <c r="G4" t="s">
        <v>37</v>
      </c>
      <c r="H4" s="2" t="s">
        <v>38</v>
      </c>
      <c r="I4" s="3" t="str" cm="1">
        <f t="array" ref="I4">_xlfn.IFS(VALUE(TRIM(H4))&lt;300,"Short",VALUE(TRIM(H4))&lt;450,"Medium",VALUE(TRIM(H4))&lt;750,"Long",TRUE,"Very Long")</f>
        <v>Short</v>
      </c>
      <c r="J4" t="s">
        <v>39</v>
      </c>
      <c r="K4" t="str" cm="1">
        <f t="array" ref="K4">_xlfn.IFS(VALUE(TRIM(J4))&lt;0,"BC",VALUE(TRIM(J4))&lt;200,"100",VALUE(TRIM(J4))&lt;800,"700",VALUE(TRIM(J4))&lt;900,"800",VALUE(TRIM(J4))&lt;1000,"900",VALUE(TRIM(J4))&lt;1100,"1000",VALUE(TRIM(J4))&lt;1200,"1100",VALUE(TRIM(J4))&lt;1300,"1200",VALUE(TRIM(J4))&lt;1400,"1300",VALUE(TRIM(J4))&lt;1500,"1400",VALUE(TRIM(J4))&lt;1600,"1500",VALUE(TRIM(J4))&lt;1700,"1600",VALUE(TRIM(J4))&lt;1800,"1700",VALUE(TRIM(J4))&lt;1900,"1800",VALUE(TRIM(J4))&lt;2000,"1900",VALUE(TRIM(J4))&lt;2100,"2000")</f>
        <v>2000</v>
      </c>
      <c r="L4" s="1">
        <v>45981</v>
      </c>
      <c r="M4" s="1" t="str">
        <f t="shared" si="1"/>
        <v>11/2025</v>
      </c>
      <c r="N4" s="1">
        <f t="shared" si="2"/>
        <v>45981</v>
      </c>
      <c r="O4" t="s">
        <v>32</v>
      </c>
    </row>
    <row r="5" spans="1:15">
      <c r="A5" s="2" t="s">
        <v>40</v>
      </c>
      <c r="B5" t="s">
        <v>41</v>
      </c>
      <c r="C5" t="s">
        <v>42</v>
      </c>
      <c r="D5" s="2" t="s">
        <v>18</v>
      </c>
      <c r="E5" s="2" t="str">
        <f t="shared" si="0"/>
        <v>no rating</v>
      </c>
      <c r="F5" s="2" t="s">
        <v>43</v>
      </c>
      <c r="G5" t="s">
        <v>44</v>
      </c>
      <c r="H5" s="2" t="s">
        <v>45</v>
      </c>
      <c r="I5" s="3" t="str" cm="1">
        <f t="array" ref="I5">_xlfn.IFS(VALUE(TRIM(H5))&lt;300,"Short",VALUE(TRIM(H5))&lt;450,"Medium",VALUE(TRIM(H5))&lt;750,"Long",TRUE,"Very Long")</f>
        <v>Long</v>
      </c>
      <c r="J5" t="s">
        <v>46</v>
      </c>
      <c r="K5" t="str" cm="1">
        <f t="array" ref="K5">_xlfn.IFS(VALUE(TRIM(J5))&lt;0,"BC",VALUE(TRIM(J5))&lt;200,"100",VALUE(TRIM(J5))&lt;800,"700",VALUE(TRIM(J5))&lt;900,"800",VALUE(TRIM(J5))&lt;1000,"900",VALUE(TRIM(J5))&lt;1100,"1000",VALUE(TRIM(J5))&lt;1200,"1100",VALUE(TRIM(J5))&lt;1300,"1200",VALUE(TRIM(J5))&lt;1400,"1300",VALUE(TRIM(J5))&lt;1500,"1400",VALUE(TRIM(J5))&lt;1600,"1500",VALUE(TRIM(J5))&lt;1700,"1600",VALUE(TRIM(J5))&lt;1800,"1700",VALUE(TRIM(J5))&lt;1900,"1800",VALUE(TRIM(J5))&lt;2000,"1900",VALUE(TRIM(J5))&lt;2100,"2000")</f>
        <v>2000</v>
      </c>
      <c r="M5" s="1" t="str">
        <f t="shared" si="1"/>
        <v/>
      </c>
      <c r="N5" s="1" t="str">
        <f t="shared" si="2"/>
        <v>not read</v>
      </c>
      <c r="O5" t="s">
        <v>47</v>
      </c>
    </row>
    <row r="6" spans="1:15">
      <c r="A6" s="2" t="s">
        <v>48</v>
      </c>
      <c r="B6" t="s">
        <v>49</v>
      </c>
      <c r="C6" t="s">
        <v>50</v>
      </c>
      <c r="D6" s="2" t="s">
        <v>18</v>
      </c>
      <c r="E6" s="2" t="str">
        <f t="shared" si="0"/>
        <v>no rating</v>
      </c>
      <c r="F6" s="2" t="s">
        <v>51</v>
      </c>
      <c r="G6" t="s">
        <v>52</v>
      </c>
      <c r="H6" s="2" t="s">
        <v>53</v>
      </c>
      <c r="I6" s="3" t="str" cm="1">
        <f t="array" ref="I6">_xlfn.IFS(VALUE(TRIM(H6))&lt;300,"Short",VALUE(TRIM(H6))&lt;450,"Medium",VALUE(TRIM(H6))&lt;750,"Long",TRUE,"Very Long")</f>
        <v>Short</v>
      </c>
      <c r="J6" t="s">
        <v>54</v>
      </c>
      <c r="K6" t="str" cm="1">
        <f t="array" ref="K6">_xlfn.IFS(VALUE(TRIM(J6))&lt;0,"BC",VALUE(TRIM(J6))&lt;200,"100",VALUE(TRIM(J6))&lt;800,"700",VALUE(TRIM(J6))&lt;900,"800",VALUE(TRIM(J6))&lt;1000,"900",VALUE(TRIM(J6))&lt;1100,"1000",VALUE(TRIM(J6))&lt;1200,"1100",VALUE(TRIM(J6))&lt;1300,"1200",VALUE(TRIM(J6))&lt;1400,"1300",VALUE(TRIM(J6))&lt;1500,"1400",VALUE(TRIM(J6))&lt;1600,"1500",VALUE(TRIM(J6))&lt;1700,"1600",VALUE(TRIM(J6))&lt;1800,"1700",VALUE(TRIM(J6))&lt;1900,"1800",VALUE(TRIM(J6))&lt;2000,"1900",VALUE(TRIM(J6))&lt;2100,"2000")</f>
        <v>2000</v>
      </c>
      <c r="M6" s="1" t="str">
        <f t="shared" si="1"/>
        <v/>
      </c>
      <c r="N6" s="1" t="str">
        <f t="shared" si="2"/>
        <v>not read</v>
      </c>
      <c r="O6" t="s">
        <v>47</v>
      </c>
    </row>
    <row r="7" spans="1:15">
      <c r="A7" s="2" t="s">
        <v>55</v>
      </c>
      <c r="B7" t="s">
        <v>56</v>
      </c>
      <c r="C7" t="s">
        <v>57</v>
      </c>
      <c r="D7" s="2" t="s">
        <v>27</v>
      </c>
      <c r="E7" s="2" t="str">
        <f t="shared" si="0"/>
        <v>3</v>
      </c>
      <c r="F7" s="2" t="s">
        <v>43</v>
      </c>
      <c r="G7" t="s">
        <v>58</v>
      </c>
      <c r="H7" s="2" t="s">
        <v>59</v>
      </c>
      <c r="I7" s="3" t="str" cm="1">
        <f t="array" ref="I7">_xlfn.IFS(VALUE(TRIM(H7))&lt;300,"Short",VALUE(TRIM(H7))&lt;450,"Medium",VALUE(TRIM(H7))&lt;750,"Long",TRUE,"Very Long")</f>
        <v>Short</v>
      </c>
      <c r="J7" t="s">
        <v>60</v>
      </c>
      <c r="K7" t="str" cm="1">
        <f t="array" ref="K7">_xlfn.IFS(VALUE(TRIM(J7))&lt;0,"BC",VALUE(TRIM(J7))&lt;200,"100",VALUE(TRIM(J7))&lt;800,"700",VALUE(TRIM(J7))&lt;900,"800",VALUE(TRIM(J7))&lt;1000,"900",VALUE(TRIM(J7))&lt;1100,"1000",VALUE(TRIM(J7))&lt;1200,"1100",VALUE(TRIM(J7))&lt;1300,"1200",VALUE(TRIM(J7))&lt;1400,"1300",VALUE(TRIM(J7))&lt;1500,"1400",VALUE(TRIM(J7))&lt;1600,"1500",VALUE(TRIM(J7))&lt;1700,"1600",VALUE(TRIM(J7))&lt;1800,"1700",VALUE(TRIM(J7))&lt;1900,"1800",VALUE(TRIM(J7))&lt;2000,"1900",VALUE(TRIM(J7))&lt;2100,"2000")</f>
        <v>1900</v>
      </c>
      <c r="L7" s="1">
        <v>45934</v>
      </c>
      <c r="M7" s="1" t="str">
        <f t="shared" si="1"/>
        <v>10/2025</v>
      </c>
      <c r="N7" s="1">
        <f t="shared" si="2"/>
        <v>45934</v>
      </c>
      <c r="O7" t="s">
        <v>32</v>
      </c>
    </row>
    <row r="8" spans="1:15">
      <c r="A8" s="2" t="s">
        <v>61</v>
      </c>
      <c r="B8" t="s">
        <v>62</v>
      </c>
      <c r="C8" t="s">
        <v>63</v>
      </c>
      <c r="D8" s="2" t="s">
        <v>36</v>
      </c>
      <c r="E8" s="2" t="str">
        <f t="shared" si="0"/>
        <v>4</v>
      </c>
      <c r="F8" s="2" t="s">
        <v>28</v>
      </c>
      <c r="G8" t="s">
        <v>20</v>
      </c>
      <c r="H8" s="2" t="s">
        <v>64</v>
      </c>
      <c r="I8" s="3" t="str" cm="1">
        <f t="array" ref="I8">_xlfn.IFS(VALUE(TRIM(H8))&lt;300,"Short",VALUE(TRIM(H8))&lt;450,"Medium",VALUE(TRIM(H8))&lt;750,"Long",TRUE,"Very Long")</f>
        <v>Short</v>
      </c>
      <c r="J8" t="s">
        <v>65</v>
      </c>
      <c r="K8" t="str" cm="1">
        <f t="array" ref="K8">_xlfn.IFS(VALUE(TRIM(J8))&lt;0,"BC",VALUE(TRIM(J8))&lt;200,"100",VALUE(TRIM(J8))&lt;800,"700",VALUE(TRIM(J8))&lt;900,"800",VALUE(TRIM(J8))&lt;1000,"900",VALUE(TRIM(J8))&lt;1100,"1000",VALUE(TRIM(J8))&lt;1200,"1100",VALUE(TRIM(J8))&lt;1300,"1200",VALUE(TRIM(J8))&lt;1400,"1300",VALUE(TRIM(J8))&lt;1500,"1400",VALUE(TRIM(J8))&lt;1600,"1500",VALUE(TRIM(J8))&lt;1700,"1600",VALUE(TRIM(J8))&lt;1800,"1700",VALUE(TRIM(J8))&lt;1900,"1800",VALUE(TRIM(J8))&lt;2000,"1900",VALUE(TRIM(J8))&lt;2100,"2000")</f>
        <v>1900</v>
      </c>
      <c r="L8" s="1">
        <v>45849</v>
      </c>
      <c r="M8" s="1" t="str">
        <f t="shared" si="1"/>
        <v>07/2025</v>
      </c>
      <c r="N8" s="1">
        <f t="shared" si="2"/>
        <v>45849</v>
      </c>
      <c r="O8" t="s">
        <v>32</v>
      </c>
    </row>
    <row r="9" spans="1:15">
      <c r="A9" s="2" t="s">
        <v>66</v>
      </c>
      <c r="B9" t="s">
        <v>67</v>
      </c>
      <c r="C9" t="s">
        <v>68</v>
      </c>
      <c r="D9" s="2" t="s">
        <v>18</v>
      </c>
      <c r="E9" s="2" t="str">
        <f t="shared" si="0"/>
        <v>no rating</v>
      </c>
      <c r="F9" s="2" t="s">
        <v>69</v>
      </c>
      <c r="G9" t="s">
        <v>70</v>
      </c>
      <c r="H9" s="2" t="s">
        <v>71</v>
      </c>
      <c r="I9" s="3" t="str" cm="1">
        <f t="array" ref="I9">_xlfn.IFS(VALUE(TRIM(H9))&lt;300,"Short",VALUE(TRIM(H9))&lt;450,"Medium",VALUE(TRIM(H9))&lt;750,"Long",TRUE,"Very Long")</f>
        <v>Short</v>
      </c>
      <c r="J9" t="s">
        <v>72</v>
      </c>
      <c r="K9" t="str" cm="1">
        <f t="array" ref="K9">_xlfn.IFS(VALUE(TRIM(J9))&lt;0,"BC",VALUE(TRIM(J9))&lt;200,"100",VALUE(TRIM(J9))&lt;800,"700",VALUE(TRIM(J9))&lt;900,"800",VALUE(TRIM(J9))&lt;1000,"900",VALUE(TRIM(J9))&lt;1100,"1000",VALUE(TRIM(J9))&lt;1200,"1100",VALUE(TRIM(J9))&lt;1300,"1200",VALUE(TRIM(J9))&lt;1400,"1300",VALUE(TRIM(J9))&lt;1500,"1400",VALUE(TRIM(J9))&lt;1600,"1500",VALUE(TRIM(J9))&lt;1700,"1600",VALUE(TRIM(J9))&lt;1800,"1700",VALUE(TRIM(J9))&lt;1900,"1800",VALUE(TRIM(J9))&lt;2000,"1900",VALUE(TRIM(J9))&lt;2100,"2000")</f>
        <v>1900</v>
      </c>
      <c r="M9" s="1" t="str">
        <f t="shared" si="1"/>
        <v/>
      </c>
      <c r="N9" s="1" t="str">
        <f t="shared" si="2"/>
        <v>not read</v>
      </c>
      <c r="O9" t="s">
        <v>23</v>
      </c>
    </row>
    <row r="10" spans="1:15">
      <c r="A10" s="2" t="s">
        <v>73</v>
      </c>
      <c r="B10" t="s">
        <v>74</v>
      </c>
      <c r="C10" t="s">
        <v>75</v>
      </c>
      <c r="D10" s="2" t="s">
        <v>36</v>
      </c>
      <c r="E10" s="2" t="str">
        <f t="shared" si="0"/>
        <v>4</v>
      </c>
      <c r="F10" s="2" t="s">
        <v>51</v>
      </c>
      <c r="G10" t="s">
        <v>76</v>
      </c>
      <c r="H10" s="2" t="s">
        <v>77</v>
      </c>
      <c r="I10" s="3" t="str" cm="1">
        <f t="array" ref="I10">_xlfn.IFS(VALUE(TRIM(H10))&lt;300,"Short",VALUE(TRIM(H10))&lt;450,"Medium",VALUE(TRIM(H10))&lt;750,"Long",TRUE,"Very Long")</f>
        <v>Medium</v>
      </c>
      <c r="J10" t="s">
        <v>78</v>
      </c>
      <c r="K10" t="str" cm="1">
        <f t="array" ref="K10">_xlfn.IFS(VALUE(TRIM(J10))&lt;0,"BC",VALUE(TRIM(J10))&lt;200,"100",VALUE(TRIM(J10))&lt;800,"700",VALUE(TRIM(J10))&lt;900,"800",VALUE(TRIM(J10))&lt;1000,"900",VALUE(TRIM(J10))&lt;1100,"1000",VALUE(TRIM(J10))&lt;1200,"1100",VALUE(TRIM(J10))&lt;1300,"1200",VALUE(TRIM(J10))&lt;1400,"1300",VALUE(TRIM(J10))&lt;1500,"1400",VALUE(TRIM(J10))&lt;1600,"1500",VALUE(TRIM(J10))&lt;1700,"1600",VALUE(TRIM(J10))&lt;1800,"1700",VALUE(TRIM(J10))&lt;1900,"1800",VALUE(TRIM(J10))&lt;2000,"1900",VALUE(TRIM(J10))&lt;2100,"2000")</f>
        <v>2000</v>
      </c>
      <c r="L10" s="1">
        <v>45839</v>
      </c>
      <c r="M10" s="1" t="str">
        <f t="shared" si="1"/>
        <v>07/2025</v>
      </c>
      <c r="N10" s="1">
        <f t="shared" si="2"/>
        <v>45839</v>
      </c>
      <c r="O10" t="s">
        <v>32</v>
      </c>
    </row>
    <row r="11" spans="1:15">
      <c r="A11" s="2" t="s">
        <v>79</v>
      </c>
      <c r="B11" t="s">
        <v>80</v>
      </c>
      <c r="C11" t="s">
        <v>81</v>
      </c>
      <c r="D11" s="2" t="s">
        <v>18</v>
      </c>
      <c r="E11" s="2" t="str">
        <f t="shared" si="0"/>
        <v>no rating</v>
      </c>
      <c r="F11" s="2" t="s">
        <v>82</v>
      </c>
      <c r="G11" t="s">
        <v>83</v>
      </c>
      <c r="H11" s="2" t="s">
        <v>84</v>
      </c>
      <c r="I11" s="3" t="str" cm="1">
        <f t="array" ref="I11">_xlfn.IFS(VALUE(TRIM(H11))&lt;300,"Short",VALUE(TRIM(H11))&lt;450,"Medium",VALUE(TRIM(H11))&lt;750,"Long",TRUE,"Very Long")</f>
        <v>Short</v>
      </c>
      <c r="J11" t="s">
        <v>85</v>
      </c>
      <c r="K11" t="str" cm="1">
        <f t="array" ref="K11">_xlfn.IFS(VALUE(TRIM(J11))&lt;0,"BC",VALUE(TRIM(J11))&lt;200,"100",VALUE(TRIM(J11))&lt;800,"700",VALUE(TRIM(J11))&lt;900,"800",VALUE(TRIM(J11))&lt;1000,"900",VALUE(TRIM(J11))&lt;1100,"1000",VALUE(TRIM(J11))&lt;1200,"1100",VALUE(TRIM(J11))&lt;1300,"1200",VALUE(TRIM(J11))&lt;1400,"1300",VALUE(TRIM(J11))&lt;1500,"1400",VALUE(TRIM(J11))&lt;1600,"1500",VALUE(TRIM(J11))&lt;1700,"1600",VALUE(TRIM(J11))&lt;1800,"1700",VALUE(TRIM(J11))&lt;1900,"1800",VALUE(TRIM(J11))&lt;2000,"1900",VALUE(TRIM(J11))&lt;2100,"2000")</f>
        <v>2000</v>
      </c>
      <c r="M11" s="1" t="str">
        <f t="shared" si="1"/>
        <v/>
      </c>
      <c r="N11" s="1" t="str">
        <f t="shared" si="2"/>
        <v>not read</v>
      </c>
      <c r="O11" t="s">
        <v>47</v>
      </c>
    </row>
    <row r="12" spans="1:15">
      <c r="A12" s="2" t="s">
        <v>86</v>
      </c>
      <c r="B12" t="s">
        <v>87</v>
      </c>
      <c r="C12" t="s">
        <v>88</v>
      </c>
      <c r="D12" s="2" t="s">
        <v>36</v>
      </c>
      <c r="E12" s="2" t="str">
        <f t="shared" si="0"/>
        <v>4</v>
      </c>
      <c r="F12" s="2" t="s">
        <v>89</v>
      </c>
      <c r="G12" t="s">
        <v>90</v>
      </c>
      <c r="H12" s="2" t="s">
        <v>91</v>
      </c>
      <c r="I12" s="3" t="str" cm="1">
        <f t="array" ref="I12">_xlfn.IFS(VALUE(TRIM(H12))&lt;300,"Short",VALUE(TRIM(H12))&lt;450,"Medium",VALUE(TRIM(H12))&lt;750,"Long",TRUE,"Very Long")</f>
        <v>Short</v>
      </c>
      <c r="J12" t="s">
        <v>92</v>
      </c>
      <c r="K12" t="str" cm="1">
        <f t="array" ref="K12">_xlfn.IFS(VALUE(TRIM(J12))&lt;0,"BC",VALUE(TRIM(J12))&lt;200,"100",VALUE(TRIM(J12))&lt;800,"700",VALUE(TRIM(J12))&lt;900,"800",VALUE(TRIM(J12))&lt;1000,"900",VALUE(TRIM(J12))&lt;1100,"1000",VALUE(TRIM(J12))&lt;1200,"1100",VALUE(TRIM(J12))&lt;1300,"1200",VALUE(TRIM(J12))&lt;1400,"1300",VALUE(TRIM(J12))&lt;1500,"1400",VALUE(TRIM(J12))&lt;1600,"1500",VALUE(TRIM(J12))&lt;1700,"1600",VALUE(TRIM(J12))&lt;1800,"1700",VALUE(TRIM(J12))&lt;1900,"1800",VALUE(TRIM(J12))&lt;2000,"1900",VALUE(TRIM(J12))&lt;2100,"2000")</f>
        <v>1900</v>
      </c>
      <c r="L12" s="1">
        <v>45830</v>
      </c>
      <c r="M12" s="1" t="str">
        <f t="shared" si="1"/>
        <v>06/2025</v>
      </c>
      <c r="N12" s="1">
        <f t="shared" si="2"/>
        <v>45830</v>
      </c>
      <c r="O12" t="s">
        <v>32</v>
      </c>
    </row>
    <row r="13" spans="1:15">
      <c r="A13" s="2" t="s">
        <v>93</v>
      </c>
      <c r="B13" t="s">
        <v>94</v>
      </c>
      <c r="C13" t="s">
        <v>95</v>
      </c>
      <c r="D13" s="2" t="s">
        <v>18</v>
      </c>
      <c r="E13" s="2" t="str">
        <f t="shared" si="0"/>
        <v>no rating</v>
      </c>
      <c r="F13" s="2" t="s">
        <v>36</v>
      </c>
      <c r="G13" t="s">
        <v>96</v>
      </c>
      <c r="H13" s="2" t="s">
        <v>97</v>
      </c>
      <c r="I13" s="3" t="str" cm="1">
        <f t="array" ref="I13">_xlfn.IFS(VALUE(TRIM(H13))&lt;300,"Short",VALUE(TRIM(H13))&lt;450,"Medium",VALUE(TRIM(H13))&lt;750,"Long",TRUE,"Very Long")</f>
        <v>Short</v>
      </c>
      <c r="J13" t="s">
        <v>98</v>
      </c>
      <c r="K13" t="str" cm="1">
        <f t="array" ref="K13">_xlfn.IFS(VALUE(TRIM(J13))&lt;0,"BC",VALUE(TRIM(J13))&lt;200,"100",VALUE(TRIM(J13))&lt;800,"700",VALUE(TRIM(J13))&lt;900,"800",VALUE(TRIM(J13))&lt;1000,"900",VALUE(TRIM(J13))&lt;1100,"1000",VALUE(TRIM(J13))&lt;1200,"1100",VALUE(TRIM(J13))&lt;1300,"1200",VALUE(TRIM(J13))&lt;1400,"1300",VALUE(TRIM(J13))&lt;1500,"1400",VALUE(TRIM(J13))&lt;1600,"1500",VALUE(TRIM(J13))&lt;1700,"1600",VALUE(TRIM(J13))&lt;1800,"1700",VALUE(TRIM(J13))&lt;1900,"1800",VALUE(TRIM(J13))&lt;2000,"1900",VALUE(TRIM(J13))&lt;2100,"2000")</f>
        <v>1900</v>
      </c>
      <c r="M13" s="1" t="str">
        <f t="shared" si="1"/>
        <v/>
      </c>
      <c r="N13" s="1" t="str">
        <f t="shared" si="2"/>
        <v>not read</v>
      </c>
      <c r="O13" t="s">
        <v>47</v>
      </c>
    </row>
    <row r="14" spans="1:15">
      <c r="A14" s="2" t="s">
        <v>99</v>
      </c>
      <c r="B14" t="s">
        <v>100</v>
      </c>
      <c r="C14" t="s">
        <v>101</v>
      </c>
      <c r="D14" s="2" t="s">
        <v>18</v>
      </c>
      <c r="E14" s="2" t="str">
        <f t="shared" si="0"/>
        <v>no rating</v>
      </c>
      <c r="F14" s="2" t="s">
        <v>89</v>
      </c>
      <c r="G14" t="s">
        <v>102</v>
      </c>
      <c r="H14" s="2" t="s">
        <v>103</v>
      </c>
      <c r="I14" s="3" t="str" cm="1">
        <f t="array" ref="I14">_xlfn.IFS(VALUE(TRIM(H14))&lt;300,"Short",VALUE(TRIM(H14))&lt;450,"Medium",VALUE(TRIM(H14))&lt;750,"Long",TRUE,"Very Long")</f>
        <v>Medium</v>
      </c>
      <c r="J14" t="s">
        <v>104</v>
      </c>
      <c r="K14" t="str" cm="1">
        <f t="array" ref="K14">_xlfn.IFS(VALUE(TRIM(J14))&lt;0,"BC",VALUE(TRIM(J14))&lt;200,"100",VALUE(TRIM(J14))&lt;800,"700",VALUE(TRIM(J14))&lt;900,"800",VALUE(TRIM(J14))&lt;1000,"900",VALUE(TRIM(J14))&lt;1100,"1000",VALUE(TRIM(J14))&lt;1200,"1100",VALUE(TRIM(J14))&lt;1300,"1200",VALUE(TRIM(J14))&lt;1400,"1300",VALUE(TRIM(J14))&lt;1500,"1400",VALUE(TRIM(J14))&lt;1600,"1500",VALUE(TRIM(J14))&lt;1700,"1600",VALUE(TRIM(J14))&lt;1800,"1700",VALUE(TRIM(J14))&lt;1900,"1800",VALUE(TRIM(J14))&lt;2000,"1900",VALUE(TRIM(J14))&lt;2100,"2000")</f>
        <v>2000</v>
      </c>
      <c r="M14" s="1" t="str">
        <f t="shared" si="1"/>
        <v/>
      </c>
      <c r="N14" s="1" t="str">
        <f t="shared" si="2"/>
        <v>not read</v>
      </c>
      <c r="O14" t="s">
        <v>47</v>
      </c>
    </row>
    <row r="15" spans="1:15">
      <c r="A15" s="2" t="s">
        <v>105</v>
      </c>
      <c r="B15" t="s">
        <v>106</v>
      </c>
      <c r="C15" t="s">
        <v>107</v>
      </c>
      <c r="D15" s="2" t="s">
        <v>18</v>
      </c>
      <c r="E15" s="2" t="str">
        <f t="shared" si="0"/>
        <v>no rating</v>
      </c>
      <c r="F15" s="2" t="s">
        <v>19</v>
      </c>
      <c r="G15" t="s">
        <v>108</v>
      </c>
      <c r="H15" s="2" t="s">
        <v>109</v>
      </c>
      <c r="I15" s="3" t="str" cm="1">
        <f t="array" ref="I15">_xlfn.IFS(VALUE(TRIM(H15))&lt;300,"Short",VALUE(TRIM(H15))&lt;450,"Medium",VALUE(TRIM(H15))&lt;750,"Long",TRUE,"Very Long")</f>
        <v>Short</v>
      </c>
      <c r="J15" t="s">
        <v>110</v>
      </c>
      <c r="K15" t="str" cm="1">
        <f t="array" ref="K15">_xlfn.IFS(VALUE(TRIM(J15))&lt;0,"BC",VALUE(TRIM(J15))&lt;200,"100",VALUE(TRIM(J15))&lt;800,"700",VALUE(TRIM(J15))&lt;900,"800",VALUE(TRIM(J15))&lt;1000,"900",VALUE(TRIM(J15))&lt;1100,"1000",VALUE(TRIM(J15))&lt;1200,"1100",VALUE(TRIM(J15))&lt;1300,"1200",VALUE(TRIM(J15))&lt;1400,"1300",VALUE(TRIM(J15))&lt;1500,"1400",VALUE(TRIM(J15))&lt;1600,"1500",VALUE(TRIM(J15))&lt;1700,"1600",VALUE(TRIM(J15))&lt;1800,"1700",VALUE(TRIM(J15))&lt;1900,"1800",VALUE(TRIM(J15))&lt;2000,"1900",VALUE(TRIM(J15))&lt;2100,"2000")</f>
        <v>2000</v>
      </c>
      <c r="M15" s="1" t="str">
        <f t="shared" si="1"/>
        <v/>
      </c>
      <c r="N15" s="1" t="str">
        <f t="shared" si="2"/>
        <v>not read</v>
      </c>
      <c r="O15" t="s">
        <v>47</v>
      </c>
    </row>
    <row r="16" spans="1:15">
      <c r="A16" s="2" t="s">
        <v>111</v>
      </c>
      <c r="B16" t="s">
        <v>112</v>
      </c>
      <c r="C16" t="s">
        <v>113</v>
      </c>
      <c r="D16" s="2" t="s">
        <v>18</v>
      </c>
      <c r="E16" s="2" t="str">
        <f t="shared" si="0"/>
        <v>no rating</v>
      </c>
      <c r="F16" s="2" t="s">
        <v>82</v>
      </c>
      <c r="G16" t="s">
        <v>114</v>
      </c>
      <c r="H16" s="2" t="s">
        <v>115</v>
      </c>
      <c r="I16" s="3" t="str" cm="1">
        <f t="array" ref="I16">_xlfn.IFS(VALUE(TRIM(H16))&lt;300,"Short",VALUE(TRIM(H16))&lt;450,"Medium",VALUE(TRIM(H16))&lt;750,"Long",TRUE,"Very Long")</f>
        <v>Very Long</v>
      </c>
      <c r="J16" t="s">
        <v>116</v>
      </c>
      <c r="K16" t="str" cm="1">
        <f t="array" ref="K16">_xlfn.IFS(VALUE(TRIM(J16))&lt;0,"BC",VALUE(TRIM(J16))&lt;200,"100",VALUE(TRIM(J16))&lt;800,"700",VALUE(TRIM(J16))&lt;900,"800",VALUE(TRIM(J16))&lt;1000,"900",VALUE(TRIM(J16))&lt;1100,"1000",VALUE(TRIM(J16))&lt;1200,"1100",VALUE(TRIM(J16))&lt;1300,"1200",VALUE(TRIM(J16))&lt;1400,"1300",VALUE(TRIM(J16))&lt;1500,"1400",VALUE(TRIM(J16))&lt;1600,"1500",VALUE(TRIM(J16))&lt;1700,"1600",VALUE(TRIM(J16))&lt;1800,"1700",VALUE(TRIM(J16))&lt;1900,"1800",VALUE(TRIM(J16))&lt;2000,"1900",VALUE(TRIM(J16))&lt;2100,"2000")</f>
        <v>1900</v>
      </c>
      <c r="M16" s="1" t="str">
        <f t="shared" si="1"/>
        <v/>
      </c>
      <c r="N16" s="1" t="str">
        <f t="shared" si="2"/>
        <v>not read</v>
      </c>
      <c r="O16" t="s">
        <v>47</v>
      </c>
    </row>
    <row r="17" spans="1:15">
      <c r="A17" s="2" t="s">
        <v>117</v>
      </c>
      <c r="B17" t="s">
        <v>118</v>
      </c>
      <c r="C17" t="s">
        <v>119</v>
      </c>
      <c r="D17" s="2" t="s">
        <v>18</v>
      </c>
      <c r="E17" s="2" t="str">
        <f t="shared" si="0"/>
        <v>no rating</v>
      </c>
      <c r="F17" s="2" t="s">
        <v>82</v>
      </c>
      <c r="G17" t="s">
        <v>120</v>
      </c>
      <c r="H17" s="2" t="s">
        <v>121</v>
      </c>
      <c r="I17" s="3" t="str" cm="1">
        <f t="array" ref="I17">_xlfn.IFS(VALUE(TRIM(H17))&lt;300,"Short",VALUE(TRIM(H17))&lt;450,"Medium",VALUE(TRIM(H17))&lt;750,"Long",TRUE,"Very Long")</f>
        <v>Long</v>
      </c>
      <c r="J17" t="s">
        <v>31</v>
      </c>
      <c r="K17" t="str" cm="1">
        <f t="array" ref="K17">_xlfn.IFS(VALUE(TRIM(J17))&lt;0,"BC",VALUE(TRIM(J17))&lt;200,"100",VALUE(TRIM(J17))&lt;800,"700",VALUE(TRIM(J17))&lt;900,"800",VALUE(TRIM(J17))&lt;1000,"900",VALUE(TRIM(J17))&lt;1100,"1000",VALUE(TRIM(J17))&lt;1200,"1100",VALUE(TRIM(J17))&lt;1300,"1200",VALUE(TRIM(J17))&lt;1400,"1300",VALUE(TRIM(J17))&lt;1500,"1400",VALUE(TRIM(J17))&lt;1600,"1500",VALUE(TRIM(J17))&lt;1700,"1600",VALUE(TRIM(J17))&lt;1800,"1700",VALUE(TRIM(J17))&lt;1900,"1800",VALUE(TRIM(J17))&lt;2000,"1900",VALUE(TRIM(J17))&lt;2100,"2000")</f>
        <v>2000</v>
      </c>
      <c r="M17" s="1" t="str">
        <f t="shared" si="1"/>
        <v/>
      </c>
      <c r="N17" s="1" t="str">
        <f t="shared" si="2"/>
        <v>not read</v>
      </c>
      <c r="O17" t="s">
        <v>47</v>
      </c>
    </row>
    <row r="18" spans="1:15">
      <c r="A18" s="2" t="s">
        <v>122</v>
      </c>
      <c r="B18" t="s">
        <v>123</v>
      </c>
      <c r="C18" t="s">
        <v>124</v>
      </c>
      <c r="D18" s="2" t="s">
        <v>18</v>
      </c>
      <c r="E18" s="2" t="str">
        <f t="shared" si="0"/>
        <v>no rating</v>
      </c>
      <c r="F18" s="2" t="s">
        <v>19</v>
      </c>
      <c r="G18" t="s">
        <v>125</v>
      </c>
      <c r="H18" s="2" t="s">
        <v>109</v>
      </c>
      <c r="I18" s="3" t="str" cm="1">
        <f t="array" ref="I18">_xlfn.IFS(VALUE(TRIM(H18))&lt;300,"Short",VALUE(TRIM(H18))&lt;450,"Medium",VALUE(TRIM(H18))&lt;750,"Long",TRUE,"Very Long")</f>
        <v>Short</v>
      </c>
      <c r="J18" t="s">
        <v>85</v>
      </c>
      <c r="K18" t="str" cm="1">
        <f t="array" ref="K18">_xlfn.IFS(VALUE(TRIM(J18))&lt;0,"BC",VALUE(TRIM(J18))&lt;200,"100",VALUE(TRIM(J18))&lt;800,"700",VALUE(TRIM(J18))&lt;900,"800",VALUE(TRIM(J18))&lt;1000,"900",VALUE(TRIM(J18))&lt;1100,"1000",VALUE(TRIM(J18))&lt;1200,"1100",VALUE(TRIM(J18))&lt;1300,"1200",VALUE(TRIM(J18))&lt;1400,"1300",VALUE(TRIM(J18))&lt;1500,"1400",VALUE(TRIM(J18))&lt;1600,"1500",VALUE(TRIM(J18))&lt;1700,"1600",VALUE(TRIM(J18))&lt;1800,"1700",VALUE(TRIM(J18))&lt;1900,"1800",VALUE(TRIM(J18))&lt;2000,"1900",VALUE(TRIM(J18))&lt;2100,"2000")</f>
        <v>2000</v>
      </c>
      <c r="M18" s="1" t="str">
        <f t="shared" si="1"/>
        <v/>
      </c>
      <c r="N18" s="1" t="str">
        <f t="shared" si="2"/>
        <v>not read</v>
      </c>
      <c r="O18" t="s">
        <v>47</v>
      </c>
    </row>
    <row r="19" spans="1:15">
      <c r="A19" s="2" t="s">
        <v>126</v>
      </c>
      <c r="B19" t="s">
        <v>127</v>
      </c>
      <c r="C19" t="s">
        <v>128</v>
      </c>
      <c r="D19" s="2" t="s">
        <v>18</v>
      </c>
      <c r="E19" s="2" t="str">
        <f t="shared" si="0"/>
        <v>no rating</v>
      </c>
      <c r="F19" s="2" t="s">
        <v>36</v>
      </c>
      <c r="G19" t="s">
        <v>20</v>
      </c>
      <c r="H19" s="2" t="s">
        <v>129</v>
      </c>
      <c r="I19" s="3" t="str" cm="1">
        <f t="array" ref="I19">_xlfn.IFS(VALUE(TRIM(H19))&lt;300,"Short",VALUE(TRIM(H19))&lt;450,"Medium",VALUE(TRIM(H19))&lt;750,"Long",TRUE,"Very Long")</f>
        <v>Short</v>
      </c>
      <c r="J19" t="s">
        <v>130</v>
      </c>
      <c r="K19" t="str" cm="1">
        <f t="array" ref="K19">_xlfn.IFS(VALUE(TRIM(J19))&lt;0,"BC",VALUE(TRIM(J19))&lt;200,"100",VALUE(TRIM(J19))&lt;800,"700",VALUE(TRIM(J19))&lt;900,"800",VALUE(TRIM(J19))&lt;1000,"900",VALUE(TRIM(J19))&lt;1100,"1000",VALUE(TRIM(J19))&lt;1200,"1100",VALUE(TRIM(J19))&lt;1300,"1200",VALUE(TRIM(J19))&lt;1400,"1300",VALUE(TRIM(J19))&lt;1500,"1400",VALUE(TRIM(J19))&lt;1600,"1500",VALUE(TRIM(J19))&lt;1700,"1600",VALUE(TRIM(J19))&lt;1800,"1700",VALUE(TRIM(J19))&lt;1900,"1800",VALUE(TRIM(J19))&lt;2000,"1900",VALUE(TRIM(J19))&lt;2100,"2000")</f>
        <v>1900</v>
      </c>
      <c r="M19" s="1" t="str">
        <f t="shared" si="1"/>
        <v/>
      </c>
      <c r="N19" s="1" t="str">
        <f t="shared" si="2"/>
        <v>not read</v>
      </c>
      <c r="O19" t="s">
        <v>47</v>
      </c>
    </row>
    <row r="20" spans="1:15">
      <c r="A20" s="2" t="s">
        <v>131</v>
      </c>
      <c r="B20" t="s">
        <v>132</v>
      </c>
      <c r="C20" t="s">
        <v>124</v>
      </c>
      <c r="D20" s="2" t="s">
        <v>18</v>
      </c>
      <c r="E20" s="2" t="str">
        <f t="shared" si="0"/>
        <v>no rating</v>
      </c>
      <c r="F20" s="2" t="s">
        <v>36</v>
      </c>
      <c r="G20" t="s">
        <v>125</v>
      </c>
      <c r="H20" s="2" t="s">
        <v>133</v>
      </c>
      <c r="I20" s="3" t="str" cm="1">
        <f t="array" ref="I20">_xlfn.IFS(VALUE(TRIM(H20))&lt;300,"Short",VALUE(TRIM(H20))&lt;450,"Medium",VALUE(TRIM(H20))&lt;750,"Long",TRUE,"Very Long")</f>
        <v>Short</v>
      </c>
      <c r="J20" t="s">
        <v>78</v>
      </c>
      <c r="K20" t="str" cm="1">
        <f t="array" ref="K20">_xlfn.IFS(VALUE(TRIM(J20))&lt;0,"BC",VALUE(TRIM(J20))&lt;200,"100",VALUE(TRIM(J20))&lt;800,"700",VALUE(TRIM(J20))&lt;900,"800",VALUE(TRIM(J20))&lt;1000,"900",VALUE(TRIM(J20))&lt;1100,"1000",VALUE(TRIM(J20))&lt;1200,"1100",VALUE(TRIM(J20))&lt;1300,"1200",VALUE(TRIM(J20))&lt;1400,"1300",VALUE(TRIM(J20))&lt;1500,"1400",VALUE(TRIM(J20))&lt;1600,"1500",VALUE(TRIM(J20))&lt;1700,"1600",VALUE(TRIM(J20))&lt;1800,"1700",VALUE(TRIM(J20))&lt;1900,"1800",VALUE(TRIM(J20))&lt;2000,"1900",VALUE(TRIM(J20))&lt;2100,"2000")</f>
        <v>2000</v>
      </c>
      <c r="M20" s="1" t="str">
        <f t="shared" si="1"/>
        <v/>
      </c>
      <c r="N20" s="1" t="str">
        <f t="shared" si="2"/>
        <v>not read</v>
      </c>
      <c r="O20" t="s">
        <v>47</v>
      </c>
    </row>
    <row r="21" spans="1:15">
      <c r="A21" s="2" t="s">
        <v>134</v>
      </c>
      <c r="B21" t="s">
        <v>135</v>
      </c>
      <c r="C21" t="s">
        <v>136</v>
      </c>
      <c r="D21" s="2" t="s">
        <v>18</v>
      </c>
      <c r="E21" s="2" t="str">
        <f t="shared" si="0"/>
        <v>no rating</v>
      </c>
      <c r="F21" s="2" t="s">
        <v>36</v>
      </c>
      <c r="G21" t="s">
        <v>137</v>
      </c>
      <c r="H21" s="2" t="s">
        <v>138</v>
      </c>
      <c r="I21" s="3" t="str" cm="1">
        <f t="array" ref="I21">_xlfn.IFS(VALUE(TRIM(H21))&lt;300,"Short",VALUE(TRIM(H21))&lt;450,"Medium",VALUE(TRIM(H21))&lt;750,"Long",TRUE,"Very Long")</f>
        <v>Medium</v>
      </c>
      <c r="J21" t="s">
        <v>139</v>
      </c>
      <c r="K21" t="str" cm="1">
        <f t="array" ref="K21">_xlfn.IFS(VALUE(TRIM(J21))&lt;0,"BC",VALUE(TRIM(J21))&lt;200,"100",VALUE(TRIM(J21))&lt;800,"700",VALUE(TRIM(J21))&lt;900,"800",VALUE(TRIM(J21))&lt;1000,"900",VALUE(TRIM(J21))&lt;1100,"1000",VALUE(TRIM(J21))&lt;1200,"1100",VALUE(TRIM(J21))&lt;1300,"1200",VALUE(TRIM(J21))&lt;1400,"1300",VALUE(TRIM(J21))&lt;1500,"1400",VALUE(TRIM(J21))&lt;1600,"1500",VALUE(TRIM(J21))&lt;1700,"1600",VALUE(TRIM(J21))&lt;1800,"1700",VALUE(TRIM(J21))&lt;1900,"1800",VALUE(TRIM(J21))&lt;2000,"1900",VALUE(TRIM(J21))&lt;2100,"2000")</f>
        <v>2000</v>
      </c>
      <c r="M21" s="1" t="str">
        <f t="shared" si="1"/>
        <v/>
      </c>
      <c r="N21" s="1" t="str">
        <f t="shared" si="2"/>
        <v>not read</v>
      </c>
      <c r="O21" t="s">
        <v>47</v>
      </c>
    </row>
    <row r="22" spans="1:15">
      <c r="A22" s="2" t="s">
        <v>140</v>
      </c>
      <c r="B22" t="s">
        <v>141</v>
      </c>
      <c r="C22" t="s">
        <v>142</v>
      </c>
      <c r="D22" s="2" t="s">
        <v>18</v>
      </c>
      <c r="E22" s="2" t="str">
        <f t="shared" si="0"/>
        <v>no rating</v>
      </c>
      <c r="F22" s="2" t="s">
        <v>19</v>
      </c>
      <c r="G22" t="s">
        <v>143</v>
      </c>
      <c r="H22" s="2" t="s">
        <v>144</v>
      </c>
      <c r="I22" s="3" t="str" cm="1">
        <f t="array" ref="I22">_xlfn.IFS(VALUE(TRIM(H22))&lt;300,"Short",VALUE(TRIM(H22))&lt;450,"Medium",VALUE(TRIM(H22))&lt;750,"Long",TRUE,"Very Long")</f>
        <v>Medium</v>
      </c>
      <c r="J22" t="s">
        <v>78</v>
      </c>
      <c r="K22" t="str" cm="1">
        <f t="array" ref="K22">_xlfn.IFS(VALUE(TRIM(J22))&lt;0,"BC",VALUE(TRIM(J22))&lt;200,"100",VALUE(TRIM(J22))&lt;800,"700",VALUE(TRIM(J22))&lt;900,"800",VALUE(TRIM(J22))&lt;1000,"900",VALUE(TRIM(J22))&lt;1100,"1000",VALUE(TRIM(J22))&lt;1200,"1100",VALUE(TRIM(J22))&lt;1300,"1200",VALUE(TRIM(J22))&lt;1400,"1300",VALUE(TRIM(J22))&lt;1500,"1400",VALUE(TRIM(J22))&lt;1600,"1500",VALUE(TRIM(J22))&lt;1700,"1600",VALUE(TRIM(J22))&lt;1800,"1700",VALUE(TRIM(J22))&lt;1900,"1800",VALUE(TRIM(J22))&lt;2000,"1900",VALUE(TRIM(J22))&lt;2100,"2000")</f>
        <v>2000</v>
      </c>
      <c r="M22" s="1" t="str">
        <f t="shared" si="1"/>
        <v/>
      </c>
      <c r="N22" s="1" t="str">
        <f t="shared" si="2"/>
        <v>not read</v>
      </c>
      <c r="O22" t="s">
        <v>23</v>
      </c>
    </row>
    <row r="23" spans="1:15">
      <c r="A23" s="2" t="s">
        <v>145</v>
      </c>
      <c r="B23" t="s">
        <v>146</v>
      </c>
      <c r="C23" t="s">
        <v>147</v>
      </c>
      <c r="D23" s="2" t="s">
        <v>18</v>
      </c>
      <c r="E23" s="2" t="str">
        <f t="shared" si="0"/>
        <v>no rating</v>
      </c>
      <c r="F23" s="2" t="s">
        <v>82</v>
      </c>
      <c r="G23" t="s">
        <v>148</v>
      </c>
      <c r="H23" s="2" t="s">
        <v>149</v>
      </c>
      <c r="I23" s="3" t="str" cm="1">
        <f t="array" ref="I23">_xlfn.IFS(VALUE(TRIM(H23))&lt;300,"Short",VALUE(TRIM(H23))&lt;450,"Medium",VALUE(TRIM(H23))&lt;750,"Long",TRUE,"Very Long")</f>
        <v>Medium</v>
      </c>
      <c r="J23" t="s">
        <v>150</v>
      </c>
      <c r="K23" t="str" cm="1">
        <f t="array" ref="K23">_xlfn.IFS(VALUE(TRIM(J23))&lt;0,"BC",VALUE(TRIM(J23))&lt;200,"100",VALUE(TRIM(J23))&lt;800,"700",VALUE(TRIM(J23))&lt;900,"800",VALUE(TRIM(J23))&lt;1000,"900",VALUE(TRIM(J23))&lt;1100,"1000",VALUE(TRIM(J23))&lt;1200,"1100",VALUE(TRIM(J23))&lt;1300,"1200",VALUE(TRIM(J23))&lt;1400,"1300",VALUE(TRIM(J23))&lt;1500,"1400",VALUE(TRIM(J23))&lt;1600,"1500",VALUE(TRIM(J23))&lt;1700,"1600",VALUE(TRIM(J23))&lt;1800,"1700",VALUE(TRIM(J23))&lt;1900,"1800",VALUE(TRIM(J23))&lt;2000,"1900",VALUE(TRIM(J23))&lt;2100,"2000")</f>
        <v>2000</v>
      </c>
      <c r="M23" s="1" t="str">
        <f t="shared" si="1"/>
        <v/>
      </c>
      <c r="N23" s="1" t="str">
        <f t="shared" si="2"/>
        <v>not read</v>
      </c>
      <c r="O23" t="s">
        <v>47</v>
      </c>
    </row>
    <row r="24" spans="1:15">
      <c r="A24" s="2" t="s">
        <v>151</v>
      </c>
      <c r="B24" t="s">
        <v>152</v>
      </c>
      <c r="C24" t="s">
        <v>153</v>
      </c>
      <c r="D24" s="2" t="s">
        <v>18</v>
      </c>
      <c r="E24" s="2" t="str">
        <f t="shared" si="0"/>
        <v>no rating</v>
      </c>
      <c r="F24" s="2" t="s">
        <v>154</v>
      </c>
      <c r="G24" t="s">
        <v>155</v>
      </c>
      <c r="H24" s="2" t="s">
        <v>156</v>
      </c>
      <c r="I24" s="3" t="str" cm="1">
        <f t="array" ref="I24">_xlfn.IFS(VALUE(TRIM(H24))&lt;300,"Short",VALUE(TRIM(H24))&lt;450,"Medium",VALUE(TRIM(H24))&lt;750,"Long",TRUE,"Very Long")</f>
        <v>Short</v>
      </c>
      <c r="J24" t="s">
        <v>157</v>
      </c>
      <c r="K24" t="str" cm="1">
        <f t="array" ref="K24">_xlfn.IFS(VALUE(TRIM(J24))&lt;0,"BC",VALUE(TRIM(J24))&lt;200,"100",VALUE(TRIM(J24))&lt;800,"700",VALUE(TRIM(J24))&lt;900,"800",VALUE(TRIM(J24))&lt;1000,"900",VALUE(TRIM(J24))&lt;1100,"1000",VALUE(TRIM(J24))&lt;1200,"1100",VALUE(TRIM(J24))&lt;1300,"1200",VALUE(TRIM(J24))&lt;1400,"1300",VALUE(TRIM(J24))&lt;1500,"1400",VALUE(TRIM(J24))&lt;1600,"1500",VALUE(TRIM(J24))&lt;1700,"1600",VALUE(TRIM(J24))&lt;1800,"1700",VALUE(TRIM(J24))&lt;1900,"1800",VALUE(TRIM(J24))&lt;2000,"1900",VALUE(TRIM(J24))&lt;2100,"2000")</f>
        <v>2000</v>
      </c>
      <c r="M24" s="1" t="str">
        <f t="shared" si="1"/>
        <v/>
      </c>
      <c r="N24" s="1" t="str">
        <f t="shared" si="2"/>
        <v>not read</v>
      </c>
      <c r="O24" t="s">
        <v>47</v>
      </c>
    </row>
    <row r="25" spans="1:15">
      <c r="A25" s="2" t="s">
        <v>158</v>
      </c>
      <c r="B25" t="s">
        <v>159</v>
      </c>
      <c r="C25" t="s">
        <v>160</v>
      </c>
      <c r="D25" s="2" t="s">
        <v>18</v>
      </c>
      <c r="E25" s="2" t="str">
        <f t="shared" si="0"/>
        <v>no rating</v>
      </c>
      <c r="F25" s="2" t="s">
        <v>43</v>
      </c>
      <c r="G25" t="s">
        <v>161</v>
      </c>
      <c r="H25" s="2" t="s">
        <v>162</v>
      </c>
      <c r="I25" s="3" t="str" cm="1">
        <f t="array" ref="I25">_xlfn.IFS(VALUE(TRIM(H25))&lt;300,"Short",VALUE(TRIM(H25))&lt;450,"Medium",VALUE(TRIM(H25))&lt;750,"Long",TRUE,"Very Long")</f>
        <v>Short</v>
      </c>
      <c r="J25" t="s">
        <v>163</v>
      </c>
      <c r="K25" t="str" cm="1">
        <f t="array" ref="K25">_xlfn.IFS(VALUE(TRIM(J25))&lt;0,"BC",VALUE(TRIM(J25))&lt;200,"100",VALUE(TRIM(J25))&lt;800,"700",VALUE(TRIM(J25))&lt;900,"800",VALUE(TRIM(J25))&lt;1000,"900",VALUE(TRIM(J25))&lt;1100,"1000",VALUE(TRIM(J25))&lt;1200,"1100",VALUE(TRIM(J25))&lt;1300,"1200",VALUE(TRIM(J25))&lt;1400,"1300",VALUE(TRIM(J25))&lt;1500,"1400",VALUE(TRIM(J25))&lt;1600,"1500",VALUE(TRIM(J25))&lt;1700,"1600",VALUE(TRIM(J25))&lt;1800,"1700",VALUE(TRIM(J25))&lt;1900,"1800",VALUE(TRIM(J25))&lt;2000,"1900",VALUE(TRIM(J25))&lt;2100,"2000")</f>
        <v>2000</v>
      </c>
      <c r="M25" s="1" t="str">
        <f t="shared" si="1"/>
        <v/>
      </c>
      <c r="N25" s="1" t="str">
        <f t="shared" si="2"/>
        <v>not read</v>
      </c>
      <c r="O25" t="s">
        <v>47</v>
      </c>
    </row>
    <row r="26" spans="1:15">
      <c r="A26" s="2" t="s">
        <v>164</v>
      </c>
      <c r="B26" t="s">
        <v>165</v>
      </c>
      <c r="C26" t="s">
        <v>166</v>
      </c>
      <c r="D26" s="2" t="s">
        <v>18</v>
      </c>
      <c r="E26" s="2" t="str">
        <f t="shared" si="0"/>
        <v>no rating</v>
      </c>
      <c r="F26" s="2" t="s">
        <v>89</v>
      </c>
      <c r="G26" t="s">
        <v>20</v>
      </c>
      <c r="H26" s="2" t="s">
        <v>167</v>
      </c>
      <c r="I26" s="3" t="str" cm="1">
        <f t="array" ref="I26">_xlfn.IFS(VALUE(TRIM(H26))&lt;300,"Short",VALUE(TRIM(H26))&lt;450,"Medium",VALUE(TRIM(H26))&lt;750,"Long",TRUE,"Very Long")</f>
        <v>Short</v>
      </c>
      <c r="J26" t="s">
        <v>168</v>
      </c>
      <c r="K26" t="str" cm="1">
        <f t="array" ref="K26">_xlfn.IFS(VALUE(TRIM(J26))&lt;0,"BC",VALUE(TRIM(J26))&lt;200,"100",VALUE(TRIM(J26))&lt;800,"700",VALUE(TRIM(J26))&lt;900,"800",VALUE(TRIM(J26))&lt;1000,"900",VALUE(TRIM(J26))&lt;1100,"1000",VALUE(TRIM(J26))&lt;1200,"1100",VALUE(TRIM(J26))&lt;1300,"1200",VALUE(TRIM(J26))&lt;1400,"1300",VALUE(TRIM(J26))&lt;1500,"1400",VALUE(TRIM(J26))&lt;1600,"1500",VALUE(TRIM(J26))&lt;1700,"1600",VALUE(TRIM(J26))&lt;1800,"1700",VALUE(TRIM(J26))&lt;1900,"1800",VALUE(TRIM(J26))&lt;2000,"1900",VALUE(TRIM(J26))&lt;2100,"2000")</f>
        <v>1900</v>
      </c>
      <c r="M26" s="1" t="str">
        <f t="shared" si="1"/>
        <v/>
      </c>
      <c r="N26" s="1" t="str">
        <f t="shared" si="2"/>
        <v>not read</v>
      </c>
      <c r="O26" t="s">
        <v>47</v>
      </c>
    </row>
    <row r="27" spans="1:15">
      <c r="A27" s="2" t="s">
        <v>169</v>
      </c>
      <c r="B27" t="s">
        <v>170</v>
      </c>
      <c r="C27" t="s">
        <v>171</v>
      </c>
      <c r="D27" s="2" t="s">
        <v>27</v>
      </c>
      <c r="E27" s="2" t="str">
        <f t="shared" si="0"/>
        <v>3</v>
      </c>
      <c r="F27" s="2" t="s">
        <v>43</v>
      </c>
      <c r="G27" t="s">
        <v>172</v>
      </c>
      <c r="H27" s="2" t="s">
        <v>173</v>
      </c>
      <c r="I27" s="3" t="str" cm="1">
        <f t="array" ref="I27">_xlfn.IFS(VALUE(TRIM(H27))&lt;300,"Short",VALUE(TRIM(H27))&lt;450,"Medium",VALUE(TRIM(H27))&lt;750,"Long",TRUE,"Very Long")</f>
        <v>Short</v>
      </c>
      <c r="J27" t="s">
        <v>174</v>
      </c>
      <c r="K27" t="str" cm="1">
        <f t="array" ref="K27">_xlfn.IFS(VALUE(TRIM(J27))&lt;0,"BC",VALUE(TRIM(J27))&lt;200,"100",VALUE(TRIM(J27))&lt;800,"700",VALUE(TRIM(J27))&lt;900,"800",VALUE(TRIM(J27))&lt;1000,"900",VALUE(TRIM(J27))&lt;1100,"1000",VALUE(TRIM(J27))&lt;1200,"1100",VALUE(TRIM(J27))&lt;1300,"1200",VALUE(TRIM(J27))&lt;1400,"1300",VALUE(TRIM(J27))&lt;1500,"1400",VALUE(TRIM(J27))&lt;1600,"1500",VALUE(TRIM(J27))&lt;1700,"1600",VALUE(TRIM(J27))&lt;1800,"1700",VALUE(TRIM(J27))&lt;1900,"1800",VALUE(TRIM(J27))&lt;2000,"1900",VALUE(TRIM(J27))&lt;2100,"2000")</f>
        <v>2000</v>
      </c>
      <c r="L27" s="1">
        <v>45802</v>
      </c>
      <c r="M27" s="1" t="str">
        <f t="shared" si="1"/>
        <v>05/2025</v>
      </c>
      <c r="N27" s="1">
        <f t="shared" si="2"/>
        <v>45802</v>
      </c>
      <c r="O27" t="s">
        <v>32</v>
      </c>
    </row>
    <row r="28" spans="1:15">
      <c r="A28" s="2" t="s">
        <v>175</v>
      </c>
      <c r="B28" t="s">
        <v>176</v>
      </c>
      <c r="C28" t="s">
        <v>177</v>
      </c>
      <c r="D28" s="2" t="s">
        <v>18</v>
      </c>
      <c r="E28" s="2" t="str">
        <f t="shared" si="0"/>
        <v>no rating</v>
      </c>
      <c r="F28" s="2" t="s">
        <v>178</v>
      </c>
      <c r="G28" t="s">
        <v>179</v>
      </c>
      <c r="H28" s="2" t="s">
        <v>167</v>
      </c>
      <c r="I28" s="3" t="str" cm="1">
        <f t="array" ref="I28">_xlfn.IFS(VALUE(TRIM(H28))&lt;300,"Short",VALUE(TRIM(H28))&lt;450,"Medium",VALUE(TRIM(H28))&lt;750,"Long",TRUE,"Very Long")</f>
        <v>Short</v>
      </c>
      <c r="J28" t="s">
        <v>180</v>
      </c>
      <c r="K28" t="str" cm="1">
        <f t="array" ref="K28">_xlfn.IFS(VALUE(TRIM(J28))&lt;0,"BC",VALUE(TRIM(J28))&lt;200,"100",VALUE(TRIM(J28))&lt;800,"700",VALUE(TRIM(J28))&lt;900,"800",VALUE(TRIM(J28))&lt;1000,"900",VALUE(TRIM(J28))&lt;1100,"1000",VALUE(TRIM(J28))&lt;1200,"1100",VALUE(TRIM(J28))&lt;1300,"1200",VALUE(TRIM(J28))&lt;1400,"1300",VALUE(TRIM(J28))&lt;1500,"1400",VALUE(TRIM(J28))&lt;1600,"1500",VALUE(TRIM(J28))&lt;1700,"1600",VALUE(TRIM(J28))&lt;1800,"1700",VALUE(TRIM(J28))&lt;1900,"1800",VALUE(TRIM(J28))&lt;2000,"1900",VALUE(TRIM(J28))&lt;2100,"2000")</f>
        <v>1900</v>
      </c>
      <c r="M28" s="1" t="str">
        <f t="shared" si="1"/>
        <v/>
      </c>
      <c r="N28" s="1" t="str">
        <f t="shared" si="2"/>
        <v>not read</v>
      </c>
      <c r="O28" t="s">
        <v>47</v>
      </c>
    </row>
    <row r="29" spans="1:15">
      <c r="A29" s="2" t="s">
        <v>181</v>
      </c>
      <c r="B29" t="s">
        <v>182</v>
      </c>
      <c r="C29" t="s">
        <v>183</v>
      </c>
      <c r="D29" s="2" t="s">
        <v>18</v>
      </c>
      <c r="E29" s="2" t="str">
        <f t="shared" si="0"/>
        <v>no rating</v>
      </c>
      <c r="F29" s="2" t="s">
        <v>89</v>
      </c>
      <c r="G29" t="s">
        <v>184</v>
      </c>
      <c r="H29" s="2" t="s">
        <v>30</v>
      </c>
      <c r="I29" s="3" t="str" cm="1">
        <f t="array" ref="I29">_xlfn.IFS(VALUE(TRIM(H29))&lt;300,"Short",VALUE(TRIM(H29))&lt;450,"Medium",VALUE(TRIM(H29))&lt;750,"Long",TRUE,"Very Long")</f>
        <v>Medium</v>
      </c>
      <c r="J29" t="s">
        <v>185</v>
      </c>
      <c r="K29" t="str" cm="1">
        <f t="array" ref="K29">_xlfn.IFS(VALUE(TRIM(J29))&lt;0,"BC",VALUE(TRIM(J29))&lt;200,"100",VALUE(TRIM(J29))&lt;800,"700",VALUE(TRIM(J29))&lt;900,"800",VALUE(TRIM(J29))&lt;1000,"900",VALUE(TRIM(J29))&lt;1100,"1000",VALUE(TRIM(J29))&lt;1200,"1100",VALUE(TRIM(J29))&lt;1300,"1200",VALUE(TRIM(J29))&lt;1400,"1300",VALUE(TRIM(J29))&lt;1500,"1400",VALUE(TRIM(J29))&lt;1600,"1500",VALUE(TRIM(J29))&lt;1700,"1600",VALUE(TRIM(J29))&lt;1800,"1700",VALUE(TRIM(J29))&lt;1900,"1800",VALUE(TRIM(J29))&lt;2000,"1900",VALUE(TRIM(J29))&lt;2100,"2000")</f>
        <v>1900</v>
      </c>
      <c r="M29" s="1" t="str">
        <f t="shared" si="1"/>
        <v/>
      </c>
      <c r="N29" s="1" t="str">
        <f t="shared" si="2"/>
        <v>not read</v>
      </c>
      <c r="O29" t="s">
        <v>47</v>
      </c>
    </row>
    <row r="30" spans="1:15">
      <c r="A30" s="2" t="s">
        <v>186</v>
      </c>
      <c r="B30" t="s">
        <v>187</v>
      </c>
      <c r="C30" t="s">
        <v>188</v>
      </c>
      <c r="D30" s="2" t="s">
        <v>18</v>
      </c>
      <c r="E30" s="2" t="str">
        <f t="shared" si="0"/>
        <v>no rating</v>
      </c>
      <c r="F30" s="2" t="s">
        <v>69</v>
      </c>
      <c r="G30" t="s">
        <v>125</v>
      </c>
      <c r="H30" s="2" t="s">
        <v>189</v>
      </c>
      <c r="I30" s="3" t="str" cm="1">
        <f t="array" ref="I30">_xlfn.IFS(VALUE(TRIM(H30))&lt;300,"Short",VALUE(TRIM(H30))&lt;450,"Medium",VALUE(TRIM(H30))&lt;750,"Long",TRUE,"Very Long")</f>
        <v>Medium</v>
      </c>
      <c r="J30" t="s">
        <v>39</v>
      </c>
      <c r="K30" t="str" cm="1">
        <f t="array" ref="K30">_xlfn.IFS(VALUE(TRIM(J30))&lt;0,"BC",VALUE(TRIM(J30))&lt;200,"100",VALUE(TRIM(J30))&lt;800,"700",VALUE(TRIM(J30))&lt;900,"800",VALUE(TRIM(J30))&lt;1000,"900",VALUE(TRIM(J30))&lt;1100,"1000",VALUE(TRIM(J30))&lt;1200,"1100",VALUE(TRIM(J30))&lt;1300,"1200",VALUE(TRIM(J30))&lt;1400,"1300",VALUE(TRIM(J30))&lt;1500,"1400",VALUE(TRIM(J30))&lt;1600,"1500",VALUE(TRIM(J30))&lt;1700,"1600",VALUE(TRIM(J30))&lt;1800,"1700",VALUE(TRIM(J30))&lt;1900,"1800",VALUE(TRIM(J30))&lt;2000,"1900",VALUE(TRIM(J30))&lt;2100,"2000")</f>
        <v>2000</v>
      </c>
      <c r="M30" s="1" t="str">
        <f t="shared" si="1"/>
        <v/>
      </c>
      <c r="N30" s="1" t="str">
        <f t="shared" si="2"/>
        <v>not read</v>
      </c>
      <c r="O30" t="s">
        <v>47</v>
      </c>
    </row>
    <row r="31" spans="1:15">
      <c r="A31" s="2" t="s">
        <v>190</v>
      </c>
      <c r="B31" t="s">
        <v>191</v>
      </c>
      <c r="C31" t="s">
        <v>192</v>
      </c>
      <c r="D31" s="2" t="s">
        <v>18</v>
      </c>
      <c r="E31" s="2" t="str">
        <f t="shared" si="0"/>
        <v>no rating</v>
      </c>
      <c r="F31" s="2" t="s">
        <v>28</v>
      </c>
      <c r="G31" t="s">
        <v>20</v>
      </c>
      <c r="H31" s="2" t="s">
        <v>193</v>
      </c>
      <c r="I31" s="3" t="str" cm="1">
        <f t="array" ref="I31">_xlfn.IFS(VALUE(TRIM(H31))&lt;300,"Short",VALUE(TRIM(H31))&lt;450,"Medium",VALUE(TRIM(H31))&lt;750,"Long",TRUE,"Very Long")</f>
        <v>Medium</v>
      </c>
      <c r="J31" t="s">
        <v>194</v>
      </c>
      <c r="K31" t="str" cm="1">
        <f t="array" ref="K31">_xlfn.IFS(VALUE(TRIM(J31))&lt;0,"BC",VALUE(TRIM(J31))&lt;200,"100",VALUE(TRIM(J31))&lt;800,"700",VALUE(TRIM(J31))&lt;900,"800",VALUE(TRIM(J31))&lt;1000,"900",VALUE(TRIM(J31))&lt;1100,"1000",VALUE(TRIM(J31))&lt;1200,"1100",VALUE(TRIM(J31))&lt;1300,"1200",VALUE(TRIM(J31))&lt;1400,"1300",VALUE(TRIM(J31))&lt;1500,"1400",VALUE(TRIM(J31))&lt;1600,"1500",VALUE(TRIM(J31))&lt;1700,"1600",VALUE(TRIM(J31))&lt;1800,"1700",VALUE(TRIM(J31))&lt;1900,"1800",VALUE(TRIM(J31))&lt;2000,"1900",VALUE(TRIM(J31))&lt;2100,"2000")</f>
        <v>1800</v>
      </c>
      <c r="M31" s="1" t="str">
        <f t="shared" si="1"/>
        <v/>
      </c>
      <c r="N31" s="1" t="str">
        <f t="shared" si="2"/>
        <v>not read</v>
      </c>
      <c r="O31" t="s">
        <v>47</v>
      </c>
    </row>
    <row r="32" spans="1:15">
      <c r="A32" s="2" t="s">
        <v>195</v>
      </c>
      <c r="B32" t="s">
        <v>196</v>
      </c>
      <c r="C32" t="s">
        <v>197</v>
      </c>
      <c r="D32" s="2" t="s">
        <v>18</v>
      </c>
      <c r="E32" s="2" t="str">
        <f t="shared" si="0"/>
        <v>no rating</v>
      </c>
      <c r="F32" s="2" t="s">
        <v>69</v>
      </c>
      <c r="G32" t="s">
        <v>198</v>
      </c>
      <c r="H32" s="2" t="s">
        <v>199</v>
      </c>
      <c r="I32" s="3" t="str" cm="1">
        <f t="array" ref="I32">_xlfn.IFS(VALUE(TRIM(H32))&lt;300,"Short",VALUE(TRIM(H32))&lt;450,"Medium",VALUE(TRIM(H32))&lt;750,"Long",TRUE,"Very Long")</f>
        <v>Long</v>
      </c>
      <c r="J32" t="s">
        <v>200</v>
      </c>
      <c r="K32" t="str" cm="1">
        <f t="array" ref="K32">_xlfn.IFS(VALUE(TRIM(J32))&lt;0,"BC",VALUE(TRIM(J32))&lt;200,"100",VALUE(TRIM(J32))&lt;800,"700",VALUE(TRIM(J32))&lt;900,"800",VALUE(TRIM(J32))&lt;1000,"900",VALUE(TRIM(J32))&lt;1100,"1000",VALUE(TRIM(J32))&lt;1200,"1100",VALUE(TRIM(J32))&lt;1300,"1200",VALUE(TRIM(J32))&lt;1400,"1300",VALUE(TRIM(J32))&lt;1500,"1400",VALUE(TRIM(J32))&lt;1600,"1500",VALUE(TRIM(J32))&lt;1700,"1600",VALUE(TRIM(J32))&lt;1800,"1700",VALUE(TRIM(J32))&lt;1900,"1800",VALUE(TRIM(J32))&lt;2000,"1900",VALUE(TRIM(J32))&lt;2100,"2000")</f>
        <v>2000</v>
      </c>
      <c r="M32" s="1" t="str">
        <f t="shared" si="1"/>
        <v/>
      </c>
      <c r="N32" s="1" t="str">
        <f t="shared" si="2"/>
        <v>not read</v>
      </c>
      <c r="O32" t="s">
        <v>47</v>
      </c>
    </row>
    <row r="33" spans="1:15">
      <c r="A33" s="2" t="s">
        <v>201</v>
      </c>
      <c r="B33" t="s">
        <v>202</v>
      </c>
      <c r="C33" t="s">
        <v>203</v>
      </c>
      <c r="D33" s="2" t="s">
        <v>18</v>
      </c>
      <c r="E33" s="2" t="str">
        <f t="shared" si="0"/>
        <v>no rating</v>
      </c>
      <c r="F33" s="2" t="s">
        <v>178</v>
      </c>
      <c r="G33" t="s">
        <v>120</v>
      </c>
      <c r="H33" s="2" t="s">
        <v>204</v>
      </c>
      <c r="I33" s="3" t="str" cm="1">
        <f t="array" ref="I33">_xlfn.IFS(VALUE(TRIM(H33))&lt;300,"Short",VALUE(TRIM(H33))&lt;450,"Medium",VALUE(TRIM(H33))&lt;750,"Long",TRUE,"Very Long")</f>
        <v>Short</v>
      </c>
      <c r="J33" t="s">
        <v>174</v>
      </c>
      <c r="K33" t="str" cm="1">
        <f t="array" ref="K33">_xlfn.IFS(VALUE(TRIM(J33))&lt;0,"BC",VALUE(TRIM(J33))&lt;200,"100",VALUE(TRIM(J33))&lt;800,"700",VALUE(TRIM(J33))&lt;900,"800",VALUE(TRIM(J33))&lt;1000,"900",VALUE(TRIM(J33))&lt;1100,"1000",VALUE(TRIM(J33))&lt;1200,"1100",VALUE(TRIM(J33))&lt;1300,"1200",VALUE(TRIM(J33))&lt;1400,"1300",VALUE(TRIM(J33))&lt;1500,"1400",VALUE(TRIM(J33))&lt;1600,"1500",VALUE(TRIM(J33))&lt;1700,"1600",VALUE(TRIM(J33))&lt;1800,"1700",VALUE(TRIM(J33))&lt;1900,"1800",VALUE(TRIM(J33))&lt;2000,"1900",VALUE(TRIM(J33))&lt;2100,"2000")</f>
        <v>2000</v>
      </c>
      <c r="M33" s="1" t="str">
        <f t="shared" si="1"/>
        <v/>
      </c>
      <c r="N33" s="1" t="str">
        <f t="shared" si="2"/>
        <v>not read</v>
      </c>
      <c r="O33" t="s">
        <v>47</v>
      </c>
    </row>
    <row r="34" spans="1:15">
      <c r="A34" s="2" t="s">
        <v>205</v>
      </c>
      <c r="B34" t="s">
        <v>206</v>
      </c>
      <c r="C34" t="s">
        <v>207</v>
      </c>
      <c r="D34" s="2" t="s">
        <v>18</v>
      </c>
      <c r="E34" s="2" t="str">
        <f t="shared" si="0"/>
        <v>no rating</v>
      </c>
      <c r="F34" s="2" t="s">
        <v>154</v>
      </c>
      <c r="G34" t="s">
        <v>20</v>
      </c>
      <c r="H34" s="2" t="s">
        <v>156</v>
      </c>
      <c r="I34" s="3" t="str" cm="1">
        <f t="array" ref="I34">_xlfn.IFS(VALUE(TRIM(H34))&lt;300,"Short",VALUE(TRIM(H34))&lt;450,"Medium",VALUE(TRIM(H34))&lt;750,"Long",TRUE,"Very Long")</f>
        <v>Short</v>
      </c>
      <c r="J34" t="s">
        <v>208</v>
      </c>
      <c r="K34" t="str" cm="1">
        <f t="array" ref="K34">_xlfn.IFS(VALUE(TRIM(J34))&lt;0,"BC",VALUE(TRIM(J34))&lt;200,"100",VALUE(TRIM(J34))&lt;800,"700",VALUE(TRIM(J34))&lt;900,"800",VALUE(TRIM(J34))&lt;1000,"900",VALUE(TRIM(J34))&lt;1100,"1000",VALUE(TRIM(J34))&lt;1200,"1100",VALUE(TRIM(J34))&lt;1300,"1200",VALUE(TRIM(J34))&lt;1400,"1300",VALUE(TRIM(J34))&lt;1500,"1400",VALUE(TRIM(J34))&lt;1600,"1500",VALUE(TRIM(J34))&lt;1700,"1600",VALUE(TRIM(J34))&lt;1800,"1700",VALUE(TRIM(J34))&lt;1900,"1800",VALUE(TRIM(J34))&lt;2000,"1900",VALUE(TRIM(J34))&lt;2100,"2000")</f>
        <v>2000</v>
      </c>
      <c r="M34" s="1" t="str">
        <f t="shared" si="1"/>
        <v/>
      </c>
      <c r="N34" s="1" t="str">
        <f t="shared" si="2"/>
        <v>not read</v>
      </c>
      <c r="O34" t="s">
        <v>47</v>
      </c>
    </row>
    <row r="35" spans="1:15">
      <c r="A35" s="2" t="s">
        <v>209</v>
      </c>
      <c r="B35" t="s">
        <v>210</v>
      </c>
      <c r="C35" t="s">
        <v>211</v>
      </c>
      <c r="D35" s="2" t="s">
        <v>18</v>
      </c>
      <c r="E35" s="2" t="str">
        <f t="shared" si="0"/>
        <v>no rating</v>
      </c>
      <c r="F35" s="2" t="s">
        <v>36</v>
      </c>
      <c r="G35" t="s">
        <v>212</v>
      </c>
      <c r="H35" s="2" t="s">
        <v>213</v>
      </c>
      <c r="I35" s="3" t="str" cm="1">
        <f t="array" ref="I35">_xlfn.IFS(VALUE(TRIM(H35))&lt;300,"Short",VALUE(TRIM(H35))&lt;450,"Medium",VALUE(TRIM(H35))&lt;750,"Long",TRUE,"Very Long")</f>
        <v>Short</v>
      </c>
      <c r="J35" t="s">
        <v>214</v>
      </c>
      <c r="K35" t="str" cm="1">
        <f t="array" ref="K35">_xlfn.IFS(VALUE(TRIM(J35))&lt;0,"BC",VALUE(TRIM(J35))&lt;200,"100",VALUE(TRIM(J35))&lt;800,"700",VALUE(TRIM(J35))&lt;900,"800",VALUE(TRIM(J35))&lt;1000,"900",VALUE(TRIM(J35))&lt;1100,"1000",VALUE(TRIM(J35))&lt;1200,"1100",VALUE(TRIM(J35))&lt;1300,"1200",VALUE(TRIM(J35))&lt;1400,"1300",VALUE(TRIM(J35))&lt;1500,"1400",VALUE(TRIM(J35))&lt;1600,"1500",VALUE(TRIM(J35))&lt;1700,"1600",VALUE(TRIM(J35))&lt;1800,"1700",VALUE(TRIM(J35))&lt;1900,"1800",VALUE(TRIM(J35))&lt;2000,"1900",VALUE(TRIM(J35))&lt;2100,"2000")</f>
        <v>1900</v>
      </c>
      <c r="M35" s="1" t="str">
        <f t="shared" si="1"/>
        <v/>
      </c>
      <c r="N35" s="1" t="str">
        <f t="shared" si="2"/>
        <v>not read</v>
      </c>
      <c r="O35" t="s">
        <v>47</v>
      </c>
    </row>
    <row r="36" spans="1:15">
      <c r="A36" s="2" t="s">
        <v>215</v>
      </c>
      <c r="B36" t="s">
        <v>216</v>
      </c>
      <c r="C36" t="s">
        <v>217</v>
      </c>
      <c r="D36" s="2" t="s">
        <v>18</v>
      </c>
      <c r="E36" s="2" t="str">
        <f t="shared" si="0"/>
        <v>no rating</v>
      </c>
      <c r="F36" s="2" t="s">
        <v>19</v>
      </c>
      <c r="G36" t="s">
        <v>218</v>
      </c>
      <c r="H36" s="2" t="s">
        <v>219</v>
      </c>
      <c r="I36" s="3" t="str" cm="1">
        <f t="array" ref="I36">_xlfn.IFS(VALUE(TRIM(H36))&lt;300,"Short",VALUE(TRIM(H36))&lt;450,"Medium",VALUE(TRIM(H36))&lt;750,"Long",TRUE,"Very Long")</f>
        <v>Medium</v>
      </c>
      <c r="J36" t="s">
        <v>46</v>
      </c>
      <c r="K36" t="str" cm="1">
        <f t="array" ref="K36">_xlfn.IFS(VALUE(TRIM(J36))&lt;0,"BC",VALUE(TRIM(J36))&lt;200,"100",VALUE(TRIM(J36))&lt;800,"700",VALUE(TRIM(J36))&lt;900,"800",VALUE(TRIM(J36))&lt;1000,"900",VALUE(TRIM(J36))&lt;1100,"1000",VALUE(TRIM(J36))&lt;1200,"1100",VALUE(TRIM(J36))&lt;1300,"1200",VALUE(TRIM(J36))&lt;1400,"1300",VALUE(TRIM(J36))&lt;1500,"1400",VALUE(TRIM(J36))&lt;1600,"1500",VALUE(TRIM(J36))&lt;1700,"1600",VALUE(TRIM(J36))&lt;1800,"1700",VALUE(TRIM(J36))&lt;1900,"1800",VALUE(TRIM(J36))&lt;2000,"1900",VALUE(TRIM(J36))&lt;2100,"2000")</f>
        <v>2000</v>
      </c>
      <c r="M36" s="1" t="str">
        <f t="shared" si="1"/>
        <v/>
      </c>
      <c r="N36" s="1" t="str">
        <f t="shared" si="2"/>
        <v>not read</v>
      </c>
      <c r="O36" t="s">
        <v>47</v>
      </c>
    </row>
    <row r="37" spans="1:15">
      <c r="A37" s="2" t="s">
        <v>220</v>
      </c>
      <c r="B37" t="s">
        <v>221</v>
      </c>
      <c r="C37" t="s">
        <v>222</v>
      </c>
      <c r="D37" s="2" t="s">
        <v>18</v>
      </c>
      <c r="E37" s="2" t="str">
        <f t="shared" si="0"/>
        <v>no rating</v>
      </c>
      <c r="F37" s="2" t="s">
        <v>19</v>
      </c>
      <c r="G37" t="s">
        <v>223</v>
      </c>
      <c r="H37" s="2" t="s">
        <v>109</v>
      </c>
      <c r="I37" s="3" t="str" cm="1">
        <f t="array" ref="I37">_xlfn.IFS(VALUE(TRIM(H37))&lt;300,"Short",VALUE(TRIM(H37))&lt;450,"Medium",VALUE(TRIM(H37))&lt;750,"Long",TRUE,"Very Long")</f>
        <v>Short</v>
      </c>
      <c r="J37" t="s">
        <v>31</v>
      </c>
      <c r="K37" t="str" cm="1">
        <f t="array" ref="K37">_xlfn.IFS(VALUE(TRIM(J37))&lt;0,"BC",VALUE(TRIM(J37))&lt;200,"100",VALUE(TRIM(J37))&lt;800,"700",VALUE(TRIM(J37))&lt;900,"800",VALUE(TRIM(J37))&lt;1000,"900",VALUE(TRIM(J37))&lt;1100,"1000",VALUE(TRIM(J37))&lt;1200,"1100",VALUE(TRIM(J37))&lt;1300,"1200",VALUE(TRIM(J37))&lt;1400,"1300",VALUE(TRIM(J37))&lt;1500,"1400",VALUE(TRIM(J37))&lt;1600,"1500",VALUE(TRIM(J37))&lt;1700,"1600",VALUE(TRIM(J37))&lt;1800,"1700",VALUE(TRIM(J37))&lt;1900,"1800",VALUE(TRIM(J37))&lt;2000,"1900",VALUE(TRIM(J37))&lt;2100,"2000")</f>
        <v>2000</v>
      </c>
      <c r="M37" s="1" t="str">
        <f t="shared" si="1"/>
        <v/>
      </c>
      <c r="N37" s="1" t="str">
        <f t="shared" si="2"/>
        <v>not read</v>
      </c>
      <c r="O37" t="s">
        <v>47</v>
      </c>
    </row>
    <row r="38" spans="1:15">
      <c r="A38" s="2" t="s">
        <v>224</v>
      </c>
      <c r="B38" t="s">
        <v>225</v>
      </c>
      <c r="C38" t="s">
        <v>226</v>
      </c>
      <c r="D38" s="2" t="s">
        <v>18</v>
      </c>
      <c r="E38" s="2" t="str">
        <f t="shared" si="0"/>
        <v>no rating</v>
      </c>
      <c r="F38" s="2" t="s">
        <v>36</v>
      </c>
      <c r="G38" t="s">
        <v>227</v>
      </c>
      <c r="H38" s="2" t="s">
        <v>228</v>
      </c>
      <c r="I38" s="3" t="str" cm="1">
        <f t="array" ref="I38">_xlfn.IFS(VALUE(TRIM(H38))&lt;300,"Short",VALUE(TRIM(H38))&lt;450,"Medium",VALUE(TRIM(H38))&lt;750,"Long",TRUE,"Very Long")</f>
        <v>Short</v>
      </c>
      <c r="J38" t="s">
        <v>110</v>
      </c>
      <c r="K38" t="str" cm="1">
        <f t="array" ref="K38">_xlfn.IFS(VALUE(TRIM(J38))&lt;0,"BC",VALUE(TRIM(J38))&lt;200,"100",VALUE(TRIM(J38))&lt;800,"700",VALUE(TRIM(J38))&lt;900,"800",VALUE(TRIM(J38))&lt;1000,"900",VALUE(TRIM(J38))&lt;1100,"1000",VALUE(TRIM(J38))&lt;1200,"1100",VALUE(TRIM(J38))&lt;1300,"1200",VALUE(TRIM(J38))&lt;1400,"1300",VALUE(TRIM(J38))&lt;1500,"1400",VALUE(TRIM(J38))&lt;1600,"1500",VALUE(TRIM(J38))&lt;1700,"1600",VALUE(TRIM(J38))&lt;1800,"1700",VALUE(TRIM(J38))&lt;1900,"1800",VALUE(TRIM(J38))&lt;2000,"1900",VALUE(TRIM(J38))&lt;2100,"2000")</f>
        <v>2000</v>
      </c>
      <c r="M38" s="1" t="str">
        <f t="shared" si="1"/>
        <v/>
      </c>
      <c r="N38" s="1" t="str">
        <f t="shared" si="2"/>
        <v>not read</v>
      </c>
      <c r="O38" t="s">
        <v>47</v>
      </c>
    </row>
    <row r="39" spans="1:15">
      <c r="A39" s="2" t="s">
        <v>229</v>
      </c>
      <c r="B39" t="s">
        <v>230</v>
      </c>
      <c r="C39" t="s">
        <v>231</v>
      </c>
      <c r="D39" s="2" t="s">
        <v>18</v>
      </c>
      <c r="E39" s="2" t="str">
        <f t="shared" si="0"/>
        <v>no rating</v>
      </c>
      <c r="F39" s="2" t="s">
        <v>154</v>
      </c>
      <c r="G39" t="s">
        <v>20</v>
      </c>
      <c r="H39" s="2" t="s">
        <v>232</v>
      </c>
      <c r="I39" s="3" t="str" cm="1">
        <f t="array" ref="I39">_xlfn.IFS(VALUE(TRIM(H39))&lt;300,"Short",VALUE(TRIM(H39))&lt;450,"Medium",VALUE(TRIM(H39))&lt;750,"Long",TRUE,"Very Long")</f>
        <v>Medium</v>
      </c>
      <c r="J39" t="s">
        <v>85</v>
      </c>
      <c r="K39" t="str" cm="1">
        <f t="array" ref="K39">_xlfn.IFS(VALUE(TRIM(J39))&lt;0,"BC",VALUE(TRIM(J39))&lt;200,"100",VALUE(TRIM(J39))&lt;800,"700",VALUE(TRIM(J39))&lt;900,"800",VALUE(TRIM(J39))&lt;1000,"900",VALUE(TRIM(J39))&lt;1100,"1000",VALUE(TRIM(J39))&lt;1200,"1100",VALUE(TRIM(J39))&lt;1300,"1200",VALUE(TRIM(J39))&lt;1400,"1300",VALUE(TRIM(J39))&lt;1500,"1400",VALUE(TRIM(J39))&lt;1600,"1500",VALUE(TRIM(J39))&lt;1700,"1600",VALUE(TRIM(J39))&lt;1800,"1700",VALUE(TRIM(J39))&lt;1900,"1800",VALUE(TRIM(J39))&lt;2000,"1900",VALUE(TRIM(J39))&lt;2100,"2000")</f>
        <v>2000</v>
      </c>
      <c r="M39" s="1" t="str">
        <f t="shared" si="1"/>
        <v/>
      </c>
      <c r="N39" s="1" t="str">
        <f t="shared" si="2"/>
        <v>not read</v>
      </c>
      <c r="O39" t="s">
        <v>47</v>
      </c>
    </row>
    <row r="40" spans="1:15">
      <c r="A40" s="2" t="s">
        <v>233</v>
      </c>
      <c r="B40" t="s">
        <v>234</v>
      </c>
      <c r="C40" t="s">
        <v>235</v>
      </c>
      <c r="D40" s="2" t="s">
        <v>18</v>
      </c>
      <c r="E40" s="2" t="str">
        <f t="shared" si="0"/>
        <v>no rating</v>
      </c>
      <c r="F40" s="2" t="s">
        <v>19</v>
      </c>
      <c r="G40" t="s">
        <v>236</v>
      </c>
      <c r="H40" s="2" t="s">
        <v>237</v>
      </c>
      <c r="I40" s="3" t="str" cm="1">
        <f t="array" ref="I40">_xlfn.IFS(VALUE(TRIM(H40))&lt;300,"Short",VALUE(TRIM(H40))&lt;450,"Medium",VALUE(TRIM(H40))&lt;750,"Long",TRUE,"Very Long")</f>
        <v>Short</v>
      </c>
      <c r="J40" t="s">
        <v>238</v>
      </c>
      <c r="K40" t="str" cm="1">
        <f t="array" ref="K40">_xlfn.IFS(VALUE(TRIM(J40))&lt;0,"BC",VALUE(TRIM(J40))&lt;200,"100",VALUE(TRIM(J40))&lt;800,"700",VALUE(TRIM(J40))&lt;900,"800",VALUE(TRIM(J40))&lt;1000,"900",VALUE(TRIM(J40))&lt;1100,"1000",VALUE(TRIM(J40))&lt;1200,"1100",VALUE(TRIM(J40))&lt;1300,"1200",VALUE(TRIM(J40))&lt;1400,"1300",VALUE(TRIM(J40))&lt;1500,"1400",VALUE(TRIM(J40))&lt;1600,"1500",VALUE(TRIM(J40))&lt;1700,"1600",VALUE(TRIM(J40))&lt;1800,"1700",VALUE(TRIM(J40))&lt;1900,"1800",VALUE(TRIM(J40))&lt;2000,"1900",VALUE(TRIM(J40))&lt;2100,"2000")</f>
        <v>2000</v>
      </c>
      <c r="M40" s="1" t="str">
        <f t="shared" si="1"/>
        <v/>
      </c>
      <c r="N40" s="1" t="str">
        <f t="shared" si="2"/>
        <v>not read</v>
      </c>
      <c r="O40" t="s">
        <v>47</v>
      </c>
    </row>
    <row r="41" spans="1:15">
      <c r="A41" s="2" t="s">
        <v>239</v>
      </c>
      <c r="B41" t="s">
        <v>240</v>
      </c>
      <c r="C41" t="s">
        <v>241</v>
      </c>
      <c r="D41" s="2" t="s">
        <v>18</v>
      </c>
      <c r="E41" s="2" t="str">
        <f t="shared" si="0"/>
        <v>no rating</v>
      </c>
      <c r="F41" s="2" t="s">
        <v>19</v>
      </c>
      <c r="G41" t="s">
        <v>242</v>
      </c>
      <c r="H41" s="2" t="s">
        <v>243</v>
      </c>
      <c r="I41" s="3" t="str" cm="1">
        <f t="array" ref="I41">_xlfn.IFS(VALUE(TRIM(H41))&lt;300,"Short",VALUE(TRIM(H41))&lt;450,"Medium",VALUE(TRIM(H41))&lt;750,"Long",TRUE,"Very Long")</f>
        <v>Short</v>
      </c>
      <c r="J41" t="s">
        <v>244</v>
      </c>
      <c r="K41" t="str" cm="1">
        <f t="array" ref="K41">_xlfn.IFS(VALUE(TRIM(J41))&lt;0,"BC",VALUE(TRIM(J41))&lt;200,"100",VALUE(TRIM(J41))&lt;800,"700",VALUE(TRIM(J41))&lt;900,"800",VALUE(TRIM(J41))&lt;1000,"900",VALUE(TRIM(J41))&lt;1100,"1000",VALUE(TRIM(J41))&lt;1200,"1100",VALUE(TRIM(J41))&lt;1300,"1200",VALUE(TRIM(J41))&lt;1400,"1300",VALUE(TRIM(J41))&lt;1500,"1400",VALUE(TRIM(J41))&lt;1600,"1500",VALUE(TRIM(J41))&lt;1700,"1600",VALUE(TRIM(J41))&lt;1800,"1700",VALUE(TRIM(J41))&lt;1900,"1800",VALUE(TRIM(J41))&lt;2000,"1900",VALUE(TRIM(J41))&lt;2100,"2000")</f>
        <v>2000</v>
      </c>
      <c r="M41" s="1" t="str">
        <f t="shared" si="1"/>
        <v/>
      </c>
      <c r="N41" s="1" t="str">
        <f t="shared" si="2"/>
        <v>not read</v>
      </c>
      <c r="O41" t="s">
        <v>47</v>
      </c>
    </row>
    <row r="42" spans="1:15">
      <c r="A42" s="2" t="s">
        <v>245</v>
      </c>
      <c r="B42" t="s">
        <v>246</v>
      </c>
      <c r="C42" t="s">
        <v>247</v>
      </c>
      <c r="D42" s="2" t="s">
        <v>18</v>
      </c>
      <c r="E42" s="2" t="str">
        <f t="shared" si="0"/>
        <v>no rating</v>
      </c>
      <c r="F42" s="2" t="s">
        <v>82</v>
      </c>
      <c r="G42" t="s">
        <v>20</v>
      </c>
      <c r="H42" s="2" t="s">
        <v>248</v>
      </c>
      <c r="I42" s="3" t="str" cm="1">
        <f t="array" ref="I42">_xlfn.IFS(VALUE(TRIM(H42))&lt;300,"Short",VALUE(TRIM(H42))&lt;450,"Medium",VALUE(TRIM(H42))&lt;750,"Long",TRUE,"Very Long")</f>
        <v>Short</v>
      </c>
      <c r="J42" t="s">
        <v>249</v>
      </c>
      <c r="K42" t="str" cm="1">
        <f t="array" ref="K42">_xlfn.IFS(VALUE(TRIM(J42))&lt;0,"BC",VALUE(TRIM(J42))&lt;200,"100",VALUE(TRIM(J42))&lt;800,"700",VALUE(TRIM(J42))&lt;900,"800",VALUE(TRIM(J42))&lt;1000,"900",VALUE(TRIM(J42))&lt;1100,"1000",VALUE(TRIM(J42))&lt;1200,"1100",VALUE(TRIM(J42))&lt;1300,"1200",VALUE(TRIM(J42))&lt;1400,"1300",VALUE(TRIM(J42))&lt;1500,"1400",VALUE(TRIM(J42))&lt;1600,"1500",VALUE(TRIM(J42))&lt;1700,"1600",VALUE(TRIM(J42))&lt;1800,"1700",VALUE(TRIM(J42))&lt;1900,"1800",VALUE(TRIM(J42))&lt;2000,"1900",VALUE(TRIM(J42))&lt;2100,"2000")</f>
        <v>1900</v>
      </c>
      <c r="M42" s="1" t="str">
        <f t="shared" si="1"/>
        <v/>
      </c>
      <c r="N42" s="1" t="str">
        <f t="shared" si="2"/>
        <v>not read</v>
      </c>
      <c r="O42" t="s">
        <v>47</v>
      </c>
    </row>
    <row r="43" spans="1:15">
      <c r="A43" s="2" t="s">
        <v>250</v>
      </c>
      <c r="B43" t="s">
        <v>251</v>
      </c>
      <c r="C43" t="s">
        <v>252</v>
      </c>
      <c r="D43" s="2" t="s">
        <v>18</v>
      </c>
      <c r="E43" s="2" t="str">
        <f t="shared" si="0"/>
        <v>no rating</v>
      </c>
      <c r="F43" s="2" t="s">
        <v>19</v>
      </c>
      <c r="G43" t="s">
        <v>253</v>
      </c>
      <c r="H43" s="2" t="s">
        <v>254</v>
      </c>
      <c r="I43" s="3" t="str" cm="1">
        <f t="array" ref="I43">_xlfn.IFS(VALUE(TRIM(H43))&lt;300,"Short",VALUE(TRIM(H43))&lt;450,"Medium",VALUE(TRIM(H43))&lt;750,"Long",TRUE,"Very Long")</f>
        <v>Short</v>
      </c>
      <c r="J43" t="s">
        <v>214</v>
      </c>
      <c r="K43" t="str" cm="1">
        <f t="array" ref="K43">_xlfn.IFS(VALUE(TRIM(J43))&lt;0,"BC",VALUE(TRIM(J43))&lt;200,"100",VALUE(TRIM(J43))&lt;800,"700",VALUE(TRIM(J43))&lt;900,"800",VALUE(TRIM(J43))&lt;1000,"900",VALUE(TRIM(J43))&lt;1100,"1000",VALUE(TRIM(J43))&lt;1200,"1100",VALUE(TRIM(J43))&lt;1300,"1200",VALUE(TRIM(J43))&lt;1400,"1300",VALUE(TRIM(J43))&lt;1500,"1400",VALUE(TRIM(J43))&lt;1600,"1500",VALUE(TRIM(J43))&lt;1700,"1600",VALUE(TRIM(J43))&lt;1800,"1700",VALUE(TRIM(J43))&lt;1900,"1800",VALUE(TRIM(J43))&lt;2000,"1900",VALUE(TRIM(J43))&lt;2100,"2000")</f>
        <v>1900</v>
      </c>
      <c r="M43" s="1" t="str">
        <f t="shared" si="1"/>
        <v/>
      </c>
      <c r="N43" s="1" t="str">
        <f t="shared" si="2"/>
        <v>not read</v>
      </c>
      <c r="O43" t="s">
        <v>47</v>
      </c>
    </row>
    <row r="44" spans="1:15">
      <c r="A44" s="2" t="s">
        <v>255</v>
      </c>
      <c r="B44" t="s">
        <v>256</v>
      </c>
      <c r="C44" t="s">
        <v>257</v>
      </c>
      <c r="D44" s="2" t="s">
        <v>18</v>
      </c>
      <c r="E44" s="2" t="str">
        <f t="shared" si="0"/>
        <v>no rating</v>
      </c>
      <c r="F44" s="2" t="s">
        <v>82</v>
      </c>
      <c r="G44" t="s">
        <v>258</v>
      </c>
      <c r="H44" s="2" t="s">
        <v>156</v>
      </c>
      <c r="I44" s="3" t="str" cm="1">
        <f t="array" ref="I44">_xlfn.IFS(VALUE(TRIM(H44))&lt;300,"Short",VALUE(TRIM(H44))&lt;450,"Medium",VALUE(TRIM(H44))&lt;750,"Long",TRUE,"Very Long")</f>
        <v>Short</v>
      </c>
      <c r="J44" t="s">
        <v>259</v>
      </c>
      <c r="K44" t="str" cm="1">
        <f t="array" ref="K44">_xlfn.IFS(VALUE(TRIM(J44))&lt;0,"BC",VALUE(TRIM(J44))&lt;200,"100",VALUE(TRIM(J44))&lt;800,"700",VALUE(TRIM(J44))&lt;900,"800",VALUE(TRIM(J44))&lt;1000,"900",VALUE(TRIM(J44))&lt;1100,"1000",VALUE(TRIM(J44))&lt;1200,"1100",VALUE(TRIM(J44))&lt;1300,"1200",VALUE(TRIM(J44))&lt;1400,"1300",VALUE(TRIM(J44))&lt;1500,"1400",VALUE(TRIM(J44))&lt;1600,"1500",VALUE(TRIM(J44))&lt;1700,"1600",VALUE(TRIM(J44))&lt;1800,"1700",VALUE(TRIM(J44))&lt;1900,"1800",VALUE(TRIM(J44))&lt;2000,"1900",VALUE(TRIM(J44))&lt;2100,"2000")</f>
        <v>2000</v>
      </c>
      <c r="M44" s="1" t="str">
        <f t="shared" si="1"/>
        <v/>
      </c>
      <c r="N44" s="1" t="str">
        <f t="shared" si="2"/>
        <v>not read</v>
      </c>
      <c r="O44" t="s">
        <v>47</v>
      </c>
    </row>
    <row r="45" spans="1:15">
      <c r="A45" s="2" t="s">
        <v>260</v>
      </c>
      <c r="B45" t="s">
        <v>261</v>
      </c>
      <c r="C45" t="s">
        <v>262</v>
      </c>
      <c r="D45" s="2" t="s">
        <v>18</v>
      </c>
      <c r="E45" s="2" t="str">
        <f t="shared" si="0"/>
        <v>no rating</v>
      </c>
      <c r="F45" s="2" t="s">
        <v>28</v>
      </c>
      <c r="G45" t="s">
        <v>120</v>
      </c>
      <c r="H45" s="2" t="s">
        <v>263</v>
      </c>
      <c r="I45" s="3" t="str" cm="1">
        <f t="array" ref="I45">_xlfn.IFS(VALUE(TRIM(H45))&lt;300,"Short",VALUE(TRIM(H45))&lt;450,"Medium",VALUE(TRIM(H45))&lt;750,"Long",TRUE,"Very Long")</f>
        <v>Medium</v>
      </c>
      <c r="J45" t="s">
        <v>139</v>
      </c>
      <c r="K45" t="str" cm="1">
        <f t="array" ref="K45">_xlfn.IFS(VALUE(TRIM(J45))&lt;0,"BC",VALUE(TRIM(J45))&lt;200,"100",VALUE(TRIM(J45))&lt;800,"700",VALUE(TRIM(J45))&lt;900,"800",VALUE(TRIM(J45))&lt;1000,"900",VALUE(TRIM(J45))&lt;1100,"1000",VALUE(TRIM(J45))&lt;1200,"1100",VALUE(TRIM(J45))&lt;1300,"1200",VALUE(TRIM(J45))&lt;1400,"1300",VALUE(TRIM(J45))&lt;1500,"1400",VALUE(TRIM(J45))&lt;1600,"1500",VALUE(TRIM(J45))&lt;1700,"1600",VALUE(TRIM(J45))&lt;1800,"1700",VALUE(TRIM(J45))&lt;1900,"1800",VALUE(TRIM(J45))&lt;2000,"1900",VALUE(TRIM(J45))&lt;2100,"2000")</f>
        <v>2000</v>
      </c>
      <c r="M45" s="1" t="str">
        <f t="shared" si="1"/>
        <v/>
      </c>
      <c r="N45" s="1" t="str">
        <f t="shared" si="2"/>
        <v>not read</v>
      </c>
      <c r="O45" t="s">
        <v>47</v>
      </c>
    </row>
    <row r="46" spans="1:15">
      <c r="A46" s="2" t="s">
        <v>264</v>
      </c>
      <c r="B46" t="s">
        <v>265</v>
      </c>
      <c r="C46" t="s">
        <v>266</v>
      </c>
      <c r="D46" s="2" t="s">
        <v>18</v>
      </c>
      <c r="E46" s="2" t="str">
        <f t="shared" si="0"/>
        <v>no rating</v>
      </c>
      <c r="F46" s="2" t="s">
        <v>43</v>
      </c>
      <c r="G46" t="s">
        <v>267</v>
      </c>
      <c r="H46" s="2" t="s">
        <v>103</v>
      </c>
      <c r="I46" s="3" t="str" cm="1">
        <f t="array" ref="I46">_xlfn.IFS(VALUE(TRIM(H46))&lt;300,"Short",VALUE(TRIM(H46))&lt;450,"Medium",VALUE(TRIM(H46))&lt;750,"Long",TRUE,"Very Long")</f>
        <v>Medium</v>
      </c>
      <c r="J46" t="s">
        <v>78</v>
      </c>
      <c r="K46" t="str" cm="1">
        <f t="array" ref="K46">_xlfn.IFS(VALUE(TRIM(J46))&lt;0,"BC",VALUE(TRIM(J46))&lt;200,"100",VALUE(TRIM(J46))&lt;800,"700",VALUE(TRIM(J46))&lt;900,"800",VALUE(TRIM(J46))&lt;1000,"900",VALUE(TRIM(J46))&lt;1100,"1000",VALUE(TRIM(J46))&lt;1200,"1100",VALUE(TRIM(J46))&lt;1300,"1200",VALUE(TRIM(J46))&lt;1400,"1300",VALUE(TRIM(J46))&lt;1500,"1400",VALUE(TRIM(J46))&lt;1600,"1500",VALUE(TRIM(J46))&lt;1700,"1600",VALUE(TRIM(J46))&lt;1800,"1700",VALUE(TRIM(J46))&lt;1900,"1800",VALUE(TRIM(J46))&lt;2000,"1900",VALUE(TRIM(J46))&lt;2100,"2000")</f>
        <v>2000</v>
      </c>
      <c r="M46" s="1" t="str">
        <f t="shared" si="1"/>
        <v/>
      </c>
      <c r="N46" s="1" t="str">
        <f t="shared" si="2"/>
        <v>not read</v>
      </c>
      <c r="O46" t="s">
        <v>47</v>
      </c>
    </row>
    <row r="47" spans="1:15">
      <c r="A47" s="2" t="s">
        <v>268</v>
      </c>
      <c r="B47" t="s">
        <v>269</v>
      </c>
      <c r="C47" t="s">
        <v>270</v>
      </c>
      <c r="D47" s="2" t="s">
        <v>18</v>
      </c>
      <c r="E47" s="2" t="str">
        <f t="shared" si="0"/>
        <v>no rating</v>
      </c>
      <c r="F47" s="2" t="s">
        <v>69</v>
      </c>
      <c r="G47" t="s">
        <v>83</v>
      </c>
      <c r="H47" s="2" t="s">
        <v>271</v>
      </c>
      <c r="I47" s="3" t="str" cm="1">
        <f t="array" ref="I47">_xlfn.IFS(VALUE(TRIM(H47))&lt;300,"Short",VALUE(TRIM(H47))&lt;450,"Medium",VALUE(TRIM(H47))&lt;750,"Long",TRUE,"Very Long")</f>
        <v>Medium</v>
      </c>
      <c r="J47" t="s">
        <v>85</v>
      </c>
      <c r="K47" t="str" cm="1">
        <f t="array" ref="K47">_xlfn.IFS(VALUE(TRIM(J47))&lt;0,"BC",VALUE(TRIM(J47))&lt;200,"100",VALUE(TRIM(J47))&lt;800,"700",VALUE(TRIM(J47))&lt;900,"800",VALUE(TRIM(J47))&lt;1000,"900",VALUE(TRIM(J47))&lt;1100,"1000",VALUE(TRIM(J47))&lt;1200,"1100",VALUE(TRIM(J47))&lt;1300,"1200",VALUE(TRIM(J47))&lt;1400,"1300",VALUE(TRIM(J47))&lt;1500,"1400",VALUE(TRIM(J47))&lt;1600,"1500",VALUE(TRIM(J47))&lt;1700,"1600",VALUE(TRIM(J47))&lt;1800,"1700",VALUE(TRIM(J47))&lt;1900,"1800",VALUE(TRIM(J47))&lt;2000,"1900",VALUE(TRIM(J47))&lt;2100,"2000")</f>
        <v>2000</v>
      </c>
      <c r="M47" s="1" t="str">
        <f t="shared" si="1"/>
        <v/>
      </c>
      <c r="N47" s="1" t="str">
        <f t="shared" si="2"/>
        <v>not read</v>
      </c>
      <c r="O47" t="s">
        <v>47</v>
      </c>
    </row>
    <row r="48" spans="1:15">
      <c r="A48" s="2" t="s">
        <v>272</v>
      </c>
      <c r="B48" t="s">
        <v>273</v>
      </c>
      <c r="C48" t="s">
        <v>274</v>
      </c>
      <c r="D48" s="2" t="s">
        <v>18</v>
      </c>
      <c r="E48" s="2" t="str">
        <f t="shared" si="0"/>
        <v>no rating</v>
      </c>
      <c r="F48" s="2" t="s">
        <v>69</v>
      </c>
      <c r="G48" t="s">
        <v>275</v>
      </c>
      <c r="H48" s="2" t="s">
        <v>276</v>
      </c>
      <c r="I48" s="3" t="str" cm="1">
        <f t="array" ref="I48">_xlfn.IFS(VALUE(TRIM(H48))&lt;300,"Short",VALUE(TRIM(H48))&lt;450,"Medium",VALUE(TRIM(H48))&lt;750,"Long",TRUE,"Very Long")</f>
        <v>Medium</v>
      </c>
      <c r="J48" t="s">
        <v>277</v>
      </c>
      <c r="K48" t="str" cm="1">
        <f t="array" ref="K48">_xlfn.IFS(VALUE(TRIM(J48))&lt;0,"BC",VALUE(TRIM(J48))&lt;200,"100",VALUE(TRIM(J48))&lt;800,"700",VALUE(TRIM(J48))&lt;900,"800",VALUE(TRIM(J48))&lt;1000,"900",VALUE(TRIM(J48))&lt;1100,"1000",VALUE(TRIM(J48))&lt;1200,"1100",VALUE(TRIM(J48))&lt;1300,"1200",VALUE(TRIM(J48))&lt;1400,"1300",VALUE(TRIM(J48))&lt;1500,"1400",VALUE(TRIM(J48))&lt;1600,"1500",VALUE(TRIM(J48))&lt;1700,"1600",VALUE(TRIM(J48))&lt;1800,"1700",VALUE(TRIM(J48))&lt;1900,"1800",VALUE(TRIM(J48))&lt;2000,"1900",VALUE(TRIM(J48))&lt;2100,"2000")</f>
        <v>1900</v>
      </c>
      <c r="M48" s="1" t="str">
        <f t="shared" si="1"/>
        <v/>
      </c>
      <c r="N48" s="1" t="str">
        <f t="shared" si="2"/>
        <v>not read</v>
      </c>
      <c r="O48" t="s">
        <v>47</v>
      </c>
    </row>
    <row r="49" spans="1:15">
      <c r="A49" s="2" t="s">
        <v>278</v>
      </c>
      <c r="B49" t="s">
        <v>279</v>
      </c>
      <c r="C49" t="s">
        <v>280</v>
      </c>
      <c r="D49" s="2" t="s">
        <v>18</v>
      </c>
      <c r="E49" s="2" t="str">
        <f t="shared" si="0"/>
        <v>no rating</v>
      </c>
      <c r="F49" s="2" t="s">
        <v>43</v>
      </c>
      <c r="G49" t="s">
        <v>281</v>
      </c>
      <c r="H49" s="2" t="s">
        <v>282</v>
      </c>
      <c r="I49" s="3" t="str" cm="1">
        <f t="array" ref="I49">_xlfn.IFS(VALUE(TRIM(H49))&lt;300,"Short",VALUE(TRIM(H49))&lt;450,"Medium",VALUE(TRIM(H49))&lt;750,"Long",TRUE,"Very Long")</f>
        <v>Medium</v>
      </c>
      <c r="J49" t="s">
        <v>283</v>
      </c>
      <c r="K49" t="str" cm="1">
        <f t="array" ref="K49">_xlfn.IFS(VALUE(TRIM(J49))&lt;0,"BC",VALUE(TRIM(J49))&lt;200,"100",VALUE(TRIM(J49))&lt;800,"700",VALUE(TRIM(J49))&lt;900,"800",VALUE(TRIM(J49))&lt;1000,"900",VALUE(TRIM(J49))&lt;1100,"1000",VALUE(TRIM(J49))&lt;1200,"1100",VALUE(TRIM(J49))&lt;1300,"1200",VALUE(TRIM(J49))&lt;1400,"1300",VALUE(TRIM(J49))&lt;1500,"1400",VALUE(TRIM(J49))&lt;1600,"1500",VALUE(TRIM(J49))&lt;1700,"1600",VALUE(TRIM(J49))&lt;1800,"1700",VALUE(TRIM(J49))&lt;1900,"1800",VALUE(TRIM(J49))&lt;2000,"1900",VALUE(TRIM(J49))&lt;2100,"2000")</f>
        <v>1900</v>
      </c>
      <c r="M49" s="1" t="str">
        <f t="shared" si="1"/>
        <v/>
      </c>
      <c r="N49" s="1" t="str">
        <f t="shared" si="2"/>
        <v>not read</v>
      </c>
      <c r="O49" t="s">
        <v>47</v>
      </c>
    </row>
    <row r="50" spans="1:15">
      <c r="A50" s="2" t="s">
        <v>284</v>
      </c>
      <c r="B50" t="s">
        <v>285</v>
      </c>
      <c r="C50" t="s">
        <v>286</v>
      </c>
      <c r="D50" s="2" t="s">
        <v>18</v>
      </c>
      <c r="E50" s="2" t="str">
        <f t="shared" si="0"/>
        <v>no rating</v>
      </c>
      <c r="F50" s="2" t="s">
        <v>69</v>
      </c>
      <c r="G50" t="s">
        <v>287</v>
      </c>
      <c r="H50" s="2" t="s">
        <v>288</v>
      </c>
      <c r="I50" s="3" t="str" cm="1">
        <f t="array" ref="I50">_xlfn.IFS(VALUE(TRIM(H50))&lt;300,"Short",VALUE(TRIM(H50))&lt;450,"Medium",VALUE(TRIM(H50))&lt;750,"Long",TRUE,"Very Long")</f>
        <v>Long</v>
      </c>
      <c r="J50" t="s">
        <v>78</v>
      </c>
      <c r="K50" t="str" cm="1">
        <f t="array" ref="K50">_xlfn.IFS(VALUE(TRIM(J50))&lt;0,"BC",VALUE(TRIM(J50))&lt;200,"100",VALUE(TRIM(J50))&lt;800,"700",VALUE(TRIM(J50))&lt;900,"800",VALUE(TRIM(J50))&lt;1000,"900",VALUE(TRIM(J50))&lt;1100,"1000",VALUE(TRIM(J50))&lt;1200,"1100",VALUE(TRIM(J50))&lt;1300,"1200",VALUE(TRIM(J50))&lt;1400,"1300",VALUE(TRIM(J50))&lt;1500,"1400",VALUE(TRIM(J50))&lt;1600,"1500",VALUE(TRIM(J50))&lt;1700,"1600",VALUE(TRIM(J50))&lt;1800,"1700",VALUE(TRIM(J50))&lt;1900,"1800",VALUE(TRIM(J50))&lt;2000,"1900",VALUE(TRIM(J50))&lt;2100,"2000")</f>
        <v>2000</v>
      </c>
      <c r="M50" s="1" t="str">
        <f t="shared" si="1"/>
        <v/>
      </c>
      <c r="N50" s="1" t="str">
        <f t="shared" si="2"/>
        <v>not read</v>
      </c>
      <c r="O50" t="s">
        <v>47</v>
      </c>
    </row>
    <row r="51" spans="1:15">
      <c r="A51" s="2" t="s">
        <v>289</v>
      </c>
      <c r="B51" t="s">
        <v>290</v>
      </c>
      <c r="C51" t="s">
        <v>291</v>
      </c>
      <c r="D51" s="2" t="s">
        <v>18</v>
      </c>
      <c r="E51" s="2" t="str">
        <f t="shared" si="0"/>
        <v>no rating</v>
      </c>
      <c r="F51" s="2" t="s">
        <v>19</v>
      </c>
      <c r="G51" t="s">
        <v>292</v>
      </c>
      <c r="H51" s="2" t="s">
        <v>213</v>
      </c>
      <c r="I51" s="3" t="str" cm="1">
        <f t="array" ref="I51">_xlfn.IFS(VALUE(TRIM(H51))&lt;300,"Short",VALUE(TRIM(H51))&lt;450,"Medium",VALUE(TRIM(H51))&lt;750,"Long",TRUE,"Very Long")</f>
        <v>Short</v>
      </c>
      <c r="J51" t="s">
        <v>293</v>
      </c>
      <c r="K51" t="str" cm="1">
        <f t="array" ref="K51">_xlfn.IFS(VALUE(TRIM(J51))&lt;0,"BC",VALUE(TRIM(J51))&lt;200,"100",VALUE(TRIM(J51))&lt;800,"700",VALUE(TRIM(J51))&lt;900,"800",VALUE(TRIM(J51))&lt;1000,"900",VALUE(TRIM(J51))&lt;1100,"1000",VALUE(TRIM(J51))&lt;1200,"1100",VALUE(TRIM(J51))&lt;1300,"1200",VALUE(TRIM(J51))&lt;1400,"1300",VALUE(TRIM(J51))&lt;1500,"1400",VALUE(TRIM(J51))&lt;1600,"1500",VALUE(TRIM(J51))&lt;1700,"1600",VALUE(TRIM(J51))&lt;1800,"1700",VALUE(TRIM(J51))&lt;1900,"1800",VALUE(TRIM(J51))&lt;2000,"1900",VALUE(TRIM(J51))&lt;2100,"2000")</f>
        <v>1900</v>
      </c>
      <c r="M51" s="1" t="str">
        <f t="shared" si="1"/>
        <v/>
      </c>
      <c r="N51" s="1" t="str">
        <f t="shared" si="2"/>
        <v>not read</v>
      </c>
      <c r="O51" t="s">
        <v>47</v>
      </c>
    </row>
    <row r="52" spans="1:15">
      <c r="A52" s="2" t="s">
        <v>294</v>
      </c>
      <c r="B52" t="s">
        <v>295</v>
      </c>
      <c r="C52" t="s">
        <v>296</v>
      </c>
      <c r="D52" s="2" t="s">
        <v>18</v>
      </c>
      <c r="E52" s="2" t="str">
        <f t="shared" si="0"/>
        <v>no rating</v>
      </c>
      <c r="F52" s="2" t="s">
        <v>19</v>
      </c>
      <c r="G52" t="s">
        <v>275</v>
      </c>
      <c r="H52" s="2" t="s">
        <v>297</v>
      </c>
      <c r="I52" s="3" t="str" cm="1">
        <f t="array" ref="I52">_xlfn.IFS(VALUE(TRIM(H52))&lt;300,"Short",VALUE(TRIM(H52))&lt;450,"Medium",VALUE(TRIM(H52))&lt;750,"Long",TRUE,"Very Long")</f>
        <v>Medium</v>
      </c>
      <c r="J52" t="s">
        <v>54</v>
      </c>
      <c r="K52" t="str" cm="1">
        <f t="array" ref="K52">_xlfn.IFS(VALUE(TRIM(J52))&lt;0,"BC",VALUE(TRIM(J52))&lt;200,"100",VALUE(TRIM(J52))&lt;800,"700",VALUE(TRIM(J52))&lt;900,"800",VALUE(TRIM(J52))&lt;1000,"900",VALUE(TRIM(J52))&lt;1100,"1000",VALUE(TRIM(J52))&lt;1200,"1100",VALUE(TRIM(J52))&lt;1300,"1200",VALUE(TRIM(J52))&lt;1400,"1300",VALUE(TRIM(J52))&lt;1500,"1400",VALUE(TRIM(J52))&lt;1600,"1500",VALUE(TRIM(J52))&lt;1700,"1600",VALUE(TRIM(J52))&lt;1800,"1700",VALUE(TRIM(J52))&lt;1900,"1800",VALUE(TRIM(J52))&lt;2000,"1900",VALUE(TRIM(J52))&lt;2100,"2000")</f>
        <v>2000</v>
      </c>
      <c r="M52" s="1" t="str">
        <f t="shared" si="1"/>
        <v/>
      </c>
      <c r="N52" s="1" t="str">
        <f t="shared" si="2"/>
        <v>not read</v>
      </c>
      <c r="O52" t="s">
        <v>47</v>
      </c>
    </row>
    <row r="53" spans="1:15">
      <c r="A53" s="2" t="s">
        <v>298</v>
      </c>
      <c r="B53" t="s">
        <v>299</v>
      </c>
      <c r="C53" t="s">
        <v>300</v>
      </c>
      <c r="D53" s="2" t="s">
        <v>18</v>
      </c>
      <c r="E53" s="2" t="str">
        <f t="shared" si="0"/>
        <v>no rating</v>
      </c>
      <c r="F53" s="2" t="s">
        <v>28</v>
      </c>
      <c r="G53" t="s">
        <v>120</v>
      </c>
      <c r="H53" s="2" t="s">
        <v>301</v>
      </c>
      <c r="I53" s="3" t="str" cm="1">
        <f t="array" ref="I53">_xlfn.IFS(VALUE(TRIM(H53))&lt;300,"Short",VALUE(TRIM(H53))&lt;450,"Medium",VALUE(TRIM(H53))&lt;750,"Long",TRUE,"Very Long")</f>
        <v>Medium</v>
      </c>
      <c r="J53" t="s">
        <v>238</v>
      </c>
      <c r="K53" t="str" cm="1">
        <f t="array" ref="K53">_xlfn.IFS(VALUE(TRIM(J53))&lt;0,"BC",VALUE(TRIM(J53))&lt;200,"100",VALUE(TRIM(J53))&lt;800,"700",VALUE(TRIM(J53))&lt;900,"800",VALUE(TRIM(J53))&lt;1000,"900",VALUE(TRIM(J53))&lt;1100,"1000",VALUE(TRIM(J53))&lt;1200,"1100",VALUE(TRIM(J53))&lt;1300,"1200",VALUE(TRIM(J53))&lt;1400,"1300",VALUE(TRIM(J53))&lt;1500,"1400",VALUE(TRIM(J53))&lt;1600,"1500",VALUE(TRIM(J53))&lt;1700,"1600",VALUE(TRIM(J53))&lt;1800,"1700",VALUE(TRIM(J53))&lt;1900,"1800",VALUE(TRIM(J53))&lt;2000,"1900",VALUE(TRIM(J53))&lt;2100,"2000")</f>
        <v>2000</v>
      </c>
      <c r="M53" s="1" t="str">
        <f t="shared" si="1"/>
        <v/>
      </c>
      <c r="N53" s="1" t="str">
        <f t="shared" si="2"/>
        <v>not read</v>
      </c>
      <c r="O53" t="s">
        <v>47</v>
      </c>
    </row>
    <row r="54" spans="1:15">
      <c r="A54" s="2" t="s">
        <v>302</v>
      </c>
      <c r="B54" t="s">
        <v>303</v>
      </c>
      <c r="C54" t="s">
        <v>300</v>
      </c>
      <c r="D54" s="2" t="s">
        <v>18</v>
      </c>
      <c r="E54" s="2" t="str">
        <f t="shared" si="0"/>
        <v>no rating</v>
      </c>
      <c r="F54" s="2" t="s">
        <v>36</v>
      </c>
      <c r="G54" t="s">
        <v>120</v>
      </c>
      <c r="H54" s="2" t="s">
        <v>304</v>
      </c>
      <c r="I54" s="3" t="str" cm="1">
        <f t="array" ref="I54">_xlfn.IFS(VALUE(TRIM(H54))&lt;300,"Short",VALUE(TRIM(H54))&lt;450,"Medium",VALUE(TRIM(H54))&lt;750,"Long",TRUE,"Very Long")</f>
        <v>Medium</v>
      </c>
      <c r="J54" t="s">
        <v>157</v>
      </c>
      <c r="K54" t="str" cm="1">
        <f t="array" ref="K54">_xlfn.IFS(VALUE(TRIM(J54))&lt;0,"BC",VALUE(TRIM(J54))&lt;200,"100",VALUE(TRIM(J54))&lt;800,"700",VALUE(TRIM(J54))&lt;900,"800",VALUE(TRIM(J54))&lt;1000,"900",VALUE(TRIM(J54))&lt;1100,"1000",VALUE(TRIM(J54))&lt;1200,"1100",VALUE(TRIM(J54))&lt;1300,"1200",VALUE(TRIM(J54))&lt;1400,"1300",VALUE(TRIM(J54))&lt;1500,"1400",VALUE(TRIM(J54))&lt;1600,"1500",VALUE(TRIM(J54))&lt;1700,"1600",VALUE(TRIM(J54))&lt;1800,"1700",VALUE(TRIM(J54))&lt;1900,"1800",VALUE(TRIM(J54))&lt;2000,"1900",VALUE(TRIM(J54))&lt;2100,"2000")</f>
        <v>2000</v>
      </c>
      <c r="M54" s="1" t="str">
        <f t="shared" si="1"/>
        <v/>
      </c>
      <c r="N54" s="1" t="str">
        <f t="shared" si="2"/>
        <v>not read</v>
      </c>
      <c r="O54" t="s">
        <v>47</v>
      </c>
    </row>
    <row r="55" spans="1:15">
      <c r="A55" s="2" t="s">
        <v>305</v>
      </c>
      <c r="B55" t="s">
        <v>306</v>
      </c>
      <c r="C55" t="s">
        <v>300</v>
      </c>
      <c r="D55" s="2" t="s">
        <v>18</v>
      </c>
      <c r="E55" s="2" t="str">
        <f t="shared" si="0"/>
        <v>no rating</v>
      </c>
      <c r="F55" s="2" t="s">
        <v>36</v>
      </c>
      <c r="G55" t="s">
        <v>120</v>
      </c>
      <c r="H55" s="2" t="s">
        <v>307</v>
      </c>
      <c r="I55" s="3" t="str" cm="1">
        <f t="array" ref="I55">_xlfn.IFS(VALUE(TRIM(H55))&lt;300,"Short",VALUE(TRIM(H55))&lt;450,"Medium",VALUE(TRIM(H55))&lt;750,"Long",TRUE,"Very Long")</f>
        <v>Medium</v>
      </c>
      <c r="J55" t="s">
        <v>31</v>
      </c>
      <c r="K55" t="str" cm="1">
        <f t="array" ref="K55">_xlfn.IFS(VALUE(TRIM(J55))&lt;0,"BC",VALUE(TRIM(J55))&lt;200,"100",VALUE(TRIM(J55))&lt;800,"700",VALUE(TRIM(J55))&lt;900,"800",VALUE(TRIM(J55))&lt;1000,"900",VALUE(TRIM(J55))&lt;1100,"1000",VALUE(TRIM(J55))&lt;1200,"1100",VALUE(TRIM(J55))&lt;1300,"1200",VALUE(TRIM(J55))&lt;1400,"1300",VALUE(TRIM(J55))&lt;1500,"1400",VALUE(TRIM(J55))&lt;1600,"1500",VALUE(TRIM(J55))&lt;1700,"1600",VALUE(TRIM(J55))&lt;1800,"1700",VALUE(TRIM(J55))&lt;1900,"1800",VALUE(TRIM(J55))&lt;2000,"1900",VALUE(TRIM(J55))&lt;2100,"2000")</f>
        <v>2000</v>
      </c>
      <c r="M55" s="1" t="str">
        <f t="shared" si="1"/>
        <v/>
      </c>
      <c r="N55" s="1" t="str">
        <f t="shared" si="2"/>
        <v>not read</v>
      </c>
      <c r="O55" t="s">
        <v>47</v>
      </c>
    </row>
    <row r="56" spans="1:15">
      <c r="A56" s="2" t="s">
        <v>308</v>
      </c>
      <c r="B56" t="s">
        <v>309</v>
      </c>
      <c r="C56" t="s">
        <v>300</v>
      </c>
      <c r="D56" s="2" t="s">
        <v>18</v>
      </c>
      <c r="E56" s="2" t="str">
        <f t="shared" si="0"/>
        <v>no rating</v>
      </c>
      <c r="F56" s="2" t="s">
        <v>36</v>
      </c>
      <c r="G56" t="s">
        <v>310</v>
      </c>
      <c r="H56" s="2" t="s">
        <v>311</v>
      </c>
      <c r="I56" s="3" t="str" cm="1">
        <f t="array" ref="I56">_xlfn.IFS(VALUE(TRIM(H56))&lt;300,"Short",VALUE(TRIM(H56))&lt;450,"Medium",VALUE(TRIM(H56))&lt;750,"Long",TRUE,"Very Long")</f>
        <v>Medium</v>
      </c>
      <c r="J56" t="s">
        <v>312</v>
      </c>
      <c r="K56" t="str" cm="1">
        <f t="array" ref="K56">_xlfn.IFS(VALUE(TRIM(J56))&lt;0,"BC",VALUE(TRIM(J56))&lt;200,"100",VALUE(TRIM(J56))&lt;800,"700",VALUE(TRIM(J56))&lt;900,"800",VALUE(TRIM(J56))&lt;1000,"900",VALUE(TRIM(J56))&lt;1100,"1000",VALUE(TRIM(J56))&lt;1200,"1100",VALUE(TRIM(J56))&lt;1300,"1200",VALUE(TRIM(J56))&lt;1400,"1300",VALUE(TRIM(J56))&lt;1500,"1400",VALUE(TRIM(J56))&lt;1600,"1500",VALUE(TRIM(J56))&lt;1700,"1600",VALUE(TRIM(J56))&lt;1800,"1700",VALUE(TRIM(J56))&lt;1900,"1800",VALUE(TRIM(J56))&lt;2000,"1900",VALUE(TRIM(J56))&lt;2100,"2000")</f>
        <v>2000</v>
      </c>
      <c r="M56" s="1" t="str">
        <f t="shared" si="1"/>
        <v/>
      </c>
      <c r="N56" s="1" t="str">
        <f t="shared" si="2"/>
        <v>not read</v>
      </c>
      <c r="O56" t="s">
        <v>47</v>
      </c>
    </row>
    <row r="57" spans="1:15">
      <c r="A57" s="2" t="s">
        <v>313</v>
      </c>
      <c r="B57" t="s">
        <v>314</v>
      </c>
      <c r="C57" t="s">
        <v>315</v>
      </c>
      <c r="D57" s="2" t="s">
        <v>18</v>
      </c>
      <c r="E57" s="2" t="str">
        <f t="shared" si="0"/>
        <v>no rating</v>
      </c>
      <c r="F57" s="2" t="s">
        <v>43</v>
      </c>
      <c r="G57" t="s">
        <v>44</v>
      </c>
      <c r="H57" s="2" t="s">
        <v>316</v>
      </c>
      <c r="I57" s="3" t="str" cm="1">
        <f t="array" ref="I57">_xlfn.IFS(VALUE(TRIM(H57))&lt;300,"Short",VALUE(TRIM(H57))&lt;450,"Medium",VALUE(TRIM(H57))&lt;750,"Long",TRUE,"Very Long")</f>
        <v>Long</v>
      </c>
      <c r="J57" t="s">
        <v>39</v>
      </c>
      <c r="K57" t="str" cm="1">
        <f t="array" ref="K57">_xlfn.IFS(VALUE(TRIM(J57))&lt;0,"BC",VALUE(TRIM(J57))&lt;200,"100",VALUE(TRIM(J57))&lt;800,"700",VALUE(TRIM(J57))&lt;900,"800",VALUE(TRIM(J57))&lt;1000,"900",VALUE(TRIM(J57))&lt;1100,"1000",VALUE(TRIM(J57))&lt;1200,"1100",VALUE(TRIM(J57))&lt;1300,"1200",VALUE(TRIM(J57))&lt;1400,"1300",VALUE(TRIM(J57))&lt;1500,"1400",VALUE(TRIM(J57))&lt;1600,"1500",VALUE(TRIM(J57))&lt;1700,"1600",VALUE(TRIM(J57))&lt;1800,"1700",VALUE(TRIM(J57))&lt;1900,"1800",VALUE(TRIM(J57))&lt;2000,"1900",VALUE(TRIM(J57))&lt;2100,"2000")</f>
        <v>2000</v>
      </c>
      <c r="M57" s="1" t="str">
        <f t="shared" si="1"/>
        <v/>
      </c>
      <c r="N57" s="1" t="str">
        <f t="shared" si="2"/>
        <v>not read</v>
      </c>
      <c r="O57" t="s">
        <v>47</v>
      </c>
    </row>
    <row r="58" spans="1:15">
      <c r="A58" s="2" t="s">
        <v>317</v>
      </c>
      <c r="B58" t="s">
        <v>318</v>
      </c>
      <c r="C58" t="s">
        <v>319</v>
      </c>
      <c r="D58" s="2" t="s">
        <v>18</v>
      </c>
      <c r="E58" s="2" t="str">
        <f t="shared" si="0"/>
        <v>no rating</v>
      </c>
      <c r="F58" s="2" t="s">
        <v>82</v>
      </c>
      <c r="G58" t="s">
        <v>320</v>
      </c>
      <c r="H58" s="2" t="s">
        <v>321</v>
      </c>
      <c r="I58" s="3" t="str" cm="1">
        <f t="array" ref="I58">_xlfn.IFS(VALUE(TRIM(H58))&lt;300,"Short",VALUE(TRIM(H58))&lt;450,"Medium",VALUE(TRIM(H58))&lt;750,"Long",TRUE,"Very Long")</f>
        <v>Short</v>
      </c>
      <c r="J58" t="s">
        <v>31</v>
      </c>
      <c r="K58" t="str" cm="1">
        <f t="array" ref="K58">_xlfn.IFS(VALUE(TRIM(J58))&lt;0,"BC",VALUE(TRIM(J58))&lt;200,"100",VALUE(TRIM(J58))&lt;800,"700",VALUE(TRIM(J58))&lt;900,"800",VALUE(TRIM(J58))&lt;1000,"900",VALUE(TRIM(J58))&lt;1100,"1000",VALUE(TRIM(J58))&lt;1200,"1100",VALUE(TRIM(J58))&lt;1300,"1200",VALUE(TRIM(J58))&lt;1400,"1300",VALUE(TRIM(J58))&lt;1500,"1400",VALUE(TRIM(J58))&lt;1600,"1500",VALUE(TRIM(J58))&lt;1700,"1600",VALUE(TRIM(J58))&lt;1800,"1700",VALUE(TRIM(J58))&lt;1900,"1800",VALUE(TRIM(J58))&lt;2000,"1900",VALUE(TRIM(J58))&lt;2100,"2000")</f>
        <v>2000</v>
      </c>
      <c r="M58" s="1" t="str">
        <f t="shared" si="1"/>
        <v/>
      </c>
      <c r="N58" s="1" t="str">
        <f t="shared" si="2"/>
        <v>not read</v>
      </c>
      <c r="O58" t="s">
        <v>47</v>
      </c>
    </row>
    <row r="59" spans="1:15">
      <c r="A59" s="2" t="s">
        <v>322</v>
      </c>
      <c r="B59" t="s">
        <v>323</v>
      </c>
      <c r="C59" t="s">
        <v>324</v>
      </c>
      <c r="D59" s="2" t="s">
        <v>18</v>
      </c>
      <c r="E59" s="2" t="str">
        <f t="shared" si="0"/>
        <v>no rating</v>
      </c>
      <c r="F59" s="2" t="s">
        <v>325</v>
      </c>
      <c r="G59" t="s">
        <v>198</v>
      </c>
      <c r="H59" s="2" t="s">
        <v>304</v>
      </c>
      <c r="I59" s="3" t="str" cm="1">
        <f t="array" ref="I59">_xlfn.IFS(VALUE(TRIM(H59))&lt;300,"Short",VALUE(TRIM(H59))&lt;450,"Medium",VALUE(TRIM(H59))&lt;750,"Long",TRUE,"Very Long")</f>
        <v>Medium</v>
      </c>
      <c r="J59" t="s">
        <v>208</v>
      </c>
      <c r="K59" t="str" cm="1">
        <f t="array" ref="K59">_xlfn.IFS(VALUE(TRIM(J59))&lt;0,"BC",VALUE(TRIM(J59))&lt;200,"100",VALUE(TRIM(J59))&lt;800,"700",VALUE(TRIM(J59))&lt;900,"800",VALUE(TRIM(J59))&lt;1000,"900",VALUE(TRIM(J59))&lt;1100,"1000",VALUE(TRIM(J59))&lt;1200,"1100",VALUE(TRIM(J59))&lt;1300,"1200",VALUE(TRIM(J59))&lt;1400,"1300",VALUE(TRIM(J59))&lt;1500,"1400",VALUE(TRIM(J59))&lt;1600,"1500",VALUE(TRIM(J59))&lt;1700,"1600",VALUE(TRIM(J59))&lt;1800,"1700",VALUE(TRIM(J59))&lt;1900,"1800",VALUE(TRIM(J59))&lt;2000,"1900",VALUE(TRIM(J59))&lt;2100,"2000")</f>
        <v>2000</v>
      </c>
      <c r="M59" s="1" t="str">
        <f t="shared" si="1"/>
        <v/>
      </c>
      <c r="N59" s="1" t="str">
        <f t="shared" si="2"/>
        <v>not read</v>
      </c>
      <c r="O59" t="s">
        <v>47</v>
      </c>
    </row>
    <row r="60" spans="1:15">
      <c r="A60" s="2" t="s">
        <v>326</v>
      </c>
      <c r="B60" t="s">
        <v>327</v>
      </c>
      <c r="C60" t="s">
        <v>328</v>
      </c>
      <c r="D60" s="2" t="s">
        <v>18</v>
      </c>
      <c r="E60" s="2" t="str">
        <f t="shared" si="0"/>
        <v>no rating</v>
      </c>
      <c r="F60" s="2" t="s">
        <v>82</v>
      </c>
      <c r="G60" t="s">
        <v>329</v>
      </c>
      <c r="H60" s="2" t="s">
        <v>330</v>
      </c>
      <c r="I60" s="3" t="str" cm="1">
        <f t="array" ref="I60">_xlfn.IFS(VALUE(TRIM(H60))&lt;300,"Short",VALUE(TRIM(H60))&lt;450,"Medium",VALUE(TRIM(H60))&lt;750,"Long",TRUE,"Very Long")</f>
        <v>Long</v>
      </c>
      <c r="J60" t="s">
        <v>85</v>
      </c>
      <c r="K60" t="str" cm="1">
        <f t="array" ref="K60">_xlfn.IFS(VALUE(TRIM(J60))&lt;0,"BC",VALUE(TRIM(J60))&lt;200,"100",VALUE(TRIM(J60))&lt;800,"700",VALUE(TRIM(J60))&lt;900,"800",VALUE(TRIM(J60))&lt;1000,"900",VALUE(TRIM(J60))&lt;1100,"1000",VALUE(TRIM(J60))&lt;1200,"1100",VALUE(TRIM(J60))&lt;1300,"1200",VALUE(TRIM(J60))&lt;1400,"1300",VALUE(TRIM(J60))&lt;1500,"1400",VALUE(TRIM(J60))&lt;1600,"1500",VALUE(TRIM(J60))&lt;1700,"1600",VALUE(TRIM(J60))&lt;1800,"1700",VALUE(TRIM(J60))&lt;1900,"1800",VALUE(TRIM(J60))&lt;2000,"1900",VALUE(TRIM(J60))&lt;2100,"2000")</f>
        <v>2000</v>
      </c>
      <c r="M60" s="1" t="str">
        <f t="shared" si="1"/>
        <v/>
      </c>
      <c r="N60" s="1" t="str">
        <f t="shared" si="2"/>
        <v>not read</v>
      </c>
      <c r="O60" t="s">
        <v>47</v>
      </c>
    </row>
    <row r="61" spans="1:15">
      <c r="A61" s="2" t="s">
        <v>331</v>
      </c>
      <c r="B61" t="s">
        <v>332</v>
      </c>
      <c r="C61" t="s">
        <v>333</v>
      </c>
      <c r="D61" s="2" t="s">
        <v>18</v>
      </c>
      <c r="E61" s="2" t="str">
        <f t="shared" si="0"/>
        <v>no rating</v>
      </c>
      <c r="F61" s="2" t="s">
        <v>36</v>
      </c>
      <c r="G61" t="s">
        <v>320</v>
      </c>
      <c r="H61" s="2" t="s">
        <v>334</v>
      </c>
      <c r="I61" s="3" t="str" cm="1">
        <f t="array" ref="I61">_xlfn.IFS(VALUE(TRIM(H61))&lt;300,"Short",VALUE(TRIM(H61))&lt;450,"Medium",VALUE(TRIM(H61))&lt;750,"Long",TRUE,"Very Long")</f>
        <v>Long</v>
      </c>
      <c r="J61" t="s">
        <v>46</v>
      </c>
      <c r="K61" t="str" cm="1">
        <f t="array" ref="K61">_xlfn.IFS(VALUE(TRIM(J61))&lt;0,"BC",VALUE(TRIM(J61))&lt;200,"100",VALUE(TRIM(J61))&lt;800,"700",VALUE(TRIM(J61))&lt;900,"800",VALUE(TRIM(J61))&lt;1000,"900",VALUE(TRIM(J61))&lt;1100,"1000",VALUE(TRIM(J61))&lt;1200,"1100",VALUE(TRIM(J61))&lt;1300,"1200",VALUE(TRIM(J61))&lt;1400,"1300",VALUE(TRIM(J61))&lt;1500,"1400",VALUE(TRIM(J61))&lt;1600,"1500",VALUE(TRIM(J61))&lt;1700,"1600",VALUE(TRIM(J61))&lt;1800,"1700",VALUE(TRIM(J61))&lt;1900,"1800",VALUE(TRIM(J61))&lt;2000,"1900",VALUE(TRIM(J61))&lt;2100,"2000")</f>
        <v>2000</v>
      </c>
      <c r="M61" s="1" t="str">
        <f t="shared" si="1"/>
        <v/>
      </c>
      <c r="N61" s="1" t="str">
        <f t="shared" si="2"/>
        <v>not read</v>
      </c>
      <c r="O61" t="s">
        <v>47</v>
      </c>
    </row>
    <row r="62" spans="1:15">
      <c r="A62" s="2" t="s">
        <v>335</v>
      </c>
      <c r="B62" t="s">
        <v>336</v>
      </c>
      <c r="C62" t="s">
        <v>337</v>
      </c>
      <c r="D62" s="2" t="s">
        <v>18</v>
      </c>
      <c r="E62" s="2" t="str">
        <f t="shared" si="0"/>
        <v>no rating</v>
      </c>
      <c r="F62" s="2" t="s">
        <v>36</v>
      </c>
      <c r="G62" t="s">
        <v>275</v>
      </c>
      <c r="H62" s="2" t="s">
        <v>338</v>
      </c>
      <c r="I62" s="3" t="str" cm="1">
        <f t="array" ref="I62">_xlfn.IFS(VALUE(TRIM(H62))&lt;300,"Short",VALUE(TRIM(H62))&lt;450,"Medium",VALUE(TRIM(H62))&lt;750,"Long",TRUE,"Very Long")</f>
        <v>Long</v>
      </c>
      <c r="J62" t="s">
        <v>339</v>
      </c>
      <c r="K62" t="str" cm="1">
        <f t="array" ref="K62">_xlfn.IFS(VALUE(TRIM(J62))&lt;0,"BC",VALUE(TRIM(J62))&lt;200,"100",VALUE(TRIM(J62))&lt;800,"700",VALUE(TRIM(J62))&lt;900,"800",VALUE(TRIM(J62))&lt;1000,"900",VALUE(TRIM(J62))&lt;1100,"1000",VALUE(TRIM(J62))&lt;1200,"1100",VALUE(TRIM(J62))&lt;1300,"1200",VALUE(TRIM(J62))&lt;1400,"1300",VALUE(TRIM(J62))&lt;1500,"1400",VALUE(TRIM(J62))&lt;1600,"1500",VALUE(TRIM(J62))&lt;1700,"1600",VALUE(TRIM(J62))&lt;1800,"1700",VALUE(TRIM(J62))&lt;1900,"1800",VALUE(TRIM(J62))&lt;2000,"1900",VALUE(TRIM(J62))&lt;2100,"2000")</f>
        <v>2000</v>
      </c>
      <c r="M62" s="1" t="str">
        <f t="shared" si="1"/>
        <v/>
      </c>
      <c r="N62" s="1" t="str">
        <f t="shared" si="2"/>
        <v>not read</v>
      </c>
      <c r="O62" t="s">
        <v>47</v>
      </c>
    </row>
    <row r="63" spans="1:15">
      <c r="A63" s="2" t="s">
        <v>340</v>
      </c>
      <c r="B63" t="s">
        <v>341</v>
      </c>
      <c r="C63" t="s">
        <v>342</v>
      </c>
      <c r="D63" s="2" t="s">
        <v>18</v>
      </c>
      <c r="E63" s="2" t="str">
        <f t="shared" si="0"/>
        <v>no rating</v>
      </c>
      <c r="F63" s="2" t="s">
        <v>19</v>
      </c>
      <c r="G63" t="s">
        <v>343</v>
      </c>
      <c r="H63" s="2" t="s">
        <v>344</v>
      </c>
      <c r="I63" s="3" t="str" cm="1">
        <f t="array" ref="I63">_xlfn.IFS(VALUE(TRIM(H63))&lt;300,"Short",VALUE(TRIM(H63))&lt;450,"Medium",VALUE(TRIM(H63))&lt;750,"Long",TRUE,"Very Long")</f>
        <v>Long</v>
      </c>
      <c r="J63" t="s">
        <v>259</v>
      </c>
      <c r="K63" t="str" cm="1">
        <f t="array" ref="K63">_xlfn.IFS(VALUE(TRIM(J63))&lt;0,"BC",VALUE(TRIM(J63))&lt;200,"100",VALUE(TRIM(J63))&lt;800,"700",VALUE(TRIM(J63))&lt;900,"800",VALUE(TRIM(J63))&lt;1000,"900",VALUE(TRIM(J63))&lt;1100,"1000",VALUE(TRIM(J63))&lt;1200,"1100",VALUE(TRIM(J63))&lt;1300,"1200",VALUE(TRIM(J63))&lt;1400,"1300",VALUE(TRIM(J63))&lt;1500,"1400",VALUE(TRIM(J63))&lt;1600,"1500",VALUE(TRIM(J63))&lt;1700,"1600",VALUE(TRIM(J63))&lt;1800,"1700",VALUE(TRIM(J63))&lt;1900,"1800",VALUE(TRIM(J63))&lt;2000,"1900",VALUE(TRIM(J63))&lt;2100,"2000")</f>
        <v>2000</v>
      </c>
      <c r="M63" s="1" t="str">
        <f t="shared" si="1"/>
        <v/>
      </c>
      <c r="N63" s="1" t="str">
        <f t="shared" si="2"/>
        <v>not read</v>
      </c>
      <c r="O63" t="s">
        <v>47</v>
      </c>
    </row>
    <row r="64" spans="1:15">
      <c r="A64" s="2" t="s">
        <v>345</v>
      </c>
      <c r="B64" t="s">
        <v>346</v>
      </c>
      <c r="C64" t="s">
        <v>347</v>
      </c>
      <c r="D64" s="2" t="s">
        <v>18</v>
      </c>
      <c r="E64" s="2" t="str">
        <f t="shared" si="0"/>
        <v>no rating</v>
      </c>
      <c r="F64" s="2" t="s">
        <v>69</v>
      </c>
      <c r="G64" t="s">
        <v>223</v>
      </c>
      <c r="H64" s="2" t="s">
        <v>348</v>
      </c>
      <c r="I64" s="3" t="str" cm="1">
        <f t="array" ref="I64">_xlfn.IFS(VALUE(TRIM(H64))&lt;300,"Short",VALUE(TRIM(H64))&lt;450,"Medium",VALUE(TRIM(H64))&lt;750,"Long",TRUE,"Very Long")</f>
        <v>Short</v>
      </c>
      <c r="J64" t="s">
        <v>31</v>
      </c>
      <c r="K64" t="str" cm="1">
        <f t="array" ref="K64">_xlfn.IFS(VALUE(TRIM(J64))&lt;0,"BC",VALUE(TRIM(J64))&lt;200,"100",VALUE(TRIM(J64))&lt;800,"700",VALUE(TRIM(J64))&lt;900,"800",VALUE(TRIM(J64))&lt;1000,"900",VALUE(TRIM(J64))&lt;1100,"1000",VALUE(TRIM(J64))&lt;1200,"1100",VALUE(TRIM(J64))&lt;1300,"1200",VALUE(TRIM(J64))&lt;1400,"1300",VALUE(TRIM(J64))&lt;1500,"1400",VALUE(TRIM(J64))&lt;1600,"1500",VALUE(TRIM(J64))&lt;1700,"1600",VALUE(TRIM(J64))&lt;1800,"1700",VALUE(TRIM(J64))&lt;1900,"1800",VALUE(TRIM(J64))&lt;2000,"1900",VALUE(TRIM(J64))&lt;2100,"2000")</f>
        <v>2000</v>
      </c>
      <c r="M64" s="1" t="str">
        <f t="shared" si="1"/>
        <v/>
      </c>
      <c r="N64" s="1" t="str">
        <f t="shared" si="2"/>
        <v>not read</v>
      </c>
      <c r="O64" t="s">
        <v>47</v>
      </c>
    </row>
    <row r="65" spans="1:15">
      <c r="A65" s="2" t="s">
        <v>349</v>
      </c>
      <c r="B65" t="s">
        <v>350</v>
      </c>
      <c r="C65" t="s">
        <v>351</v>
      </c>
      <c r="D65" s="2" t="s">
        <v>18</v>
      </c>
      <c r="E65" s="2" t="str">
        <f t="shared" si="0"/>
        <v>no rating</v>
      </c>
      <c r="F65" s="2" t="s">
        <v>19</v>
      </c>
      <c r="G65" t="s">
        <v>218</v>
      </c>
      <c r="H65" s="2" t="s">
        <v>352</v>
      </c>
      <c r="I65" s="3" t="str" cm="1">
        <f t="array" ref="I65">_xlfn.IFS(VALUE(TRIM(H65))&lt;300,"Short",VALUE(TRIM(H65))&lt;450,"Medium",VALUE(TRIM(H65))&lt;750,"Long",TRUE,"Very Long")</f>
        <v>Medium</v>
      </c>
      <c r="J65" t="s">
        <v>150</v>
      </c>
      <c r="K65" t="str" cm="1">
        <f t="array" ref="K65">_xlfn.IFS(VALUE(TRIM(J65))&lt;0,"BC",VALUE(TRIM(J65))&lt;200,"100",VALUE(TRIM(J65))&lt;800,"700",VALUE(TRIM(J65))&lt;900,"800",VALUE(TRIM(J65))&lt;1000,"900",VALUE(TRIM(J65))&lt;1100,"1000",VALUE(TRIM(J65))&lt;1200,"1100",VALUE(TRIM(J65))&lt;1300,"1200",VALUE(TRIM(J65))&lt;1400,"1300",VALUE(TRIM(J65))&lt;1500,"1400",VALUE(TRIM(J65))&lt;1600,"1500",VALUE(TRIM(J65))&lt;1700,"1600",VALUE(TRIM(J65))&lt;1800,"1700",VALUE(TRIM(J65))&lt;1900,"1800",VALUE(TRIM(J65))&lt;2000,"1900",VALUE(TRIM(J65))&lt;2100,"2000")</f>
        <v>2000</v>
      </c>
      <c r="M65" s="1" t="str">
        <f t="shared" si="1"/>
        <v/>
      </c>
      <c r="N65" s="1" t="str">
        <f t="shared" si="2"/>
        <v>not read</v>
      </c>
      <c r="O65" t="s">
        <v>47</v>
      </c>
    </row>
    <row r="66" spans="1:15">
      <c r="A66" s="2" t="s">
        <v>353</v>
      </c>
      <c r="B66" t="s">
        <v>354</v>
      </c>
      <c r="C66" t="s">
        <v>355</v>
      </c>
      <c r="D66" s="2" t="s">
        <v>18</v>
      </c>
      <c r="E66" s="2" t="str">
        <f t="shared" si="0"/>
        <v>no rating</v>
      </c>
      <c r="F66" s="2" t="s">
        <v>36</v>
      </c>
      <c r="G66" t="s">
        <v>20</v>
      </c>
      <c r="H66" s="2" t="s">
        <v>356</v>
      </c>
      <c r="I66" s="3" t="str" cm="1">
        <f t="array" ref="I66">_xlfn.IFS(VALUE(TRIM(H66))&lt;300,"Short",VALUE(TRIM(H66))&lt;450,"Medium",VALUE(TRIM(H66))&lt;750,"Long",TRUE,"Very Long")</f>
        <v>Short</v>
      </c>
      <c r="J66" t="s">
        <v>31</v>
      </c>
      <c r="K66" t="str" cm="1">
        <f t="array" ref="K66">_xlfn.IFS(VALUE(TRIM(J66))&lt;0,"BC",VALUE(TRIM(J66))&lt;200,"100",VALUE(TRIM(J66))&lt;800,"700",VALUE(TRIM(J66))&lt;900,"800",VALUE(TRIM(J66))&lt;1000,"900",VALUE(TRIM(J66))&lt;1100,"1000",VALUE(TRIM(J66))&lt;1200,"1100",VALUE(TRIM(J66))&lt;1300,"1200",VALUE(TRIM(J66))&lt;1400,"1300",VALUE(TRIM(J66))&lt;1500,"1400",VALUE(TRIM(J66))&lt;1600,"1500",VALUE(TRIM(J66))&lt;1700,"1600",VALUE(TRIM(J66))&lt;1800,"1700",VALUE(TRIM(J66))&lt;1900,"1800",VALUE(TRIM(J66))&lt;2000,"1900",VALUE(TRIM(J66))&lt;2100,"2000")</f>
        <v>2000</v>
      </c>
      <c r="M66" s="1" t="str">
        <f t="shared" si="1"/>
        <v/>
      </c>
      <c r="N66" s="1" t="str">
        <f t="shared" si="2"/>
        <v>not read</v>
      </c>
      <c r="O66" t="s">
        <v>47</v>
      </c>
    </row>
    <row r="67" spans="1:15">
      <c r="A67" s="2" t="s">
        <v>357</v>
      </c>
      <c r="B67" t="s">
        <v>358</v>
      </c>
      <c r="C67" t="s">
        <v>359</v>
      </c>
      <c r="D67" s="2" t="s">
        <v>18</v>
      </c>
      <c r="E67" s="2" t="str">
        <f t="shared" ref="E67:E128" si="3">IF(D67="0","no rating", D67)</f>
        <v>no rating</v>
      </c>
      <c r="F67" s="2" t="s">
        <v>82</v>
      </c>
      <c r="G67" t="s">
        <v>360</v>
      </c>
      <c r="H67" s="2" t="s">
        <v>361</v>
      </c>
      <c r="I67" s="3" t="str" cm="1">
        <f t="array" ref="I67">_xlfn.IFS(VALUE(TRIM(H67))&lt;300,"Short",VALUE(TRIM(H67))&lt;450,"Medium",VALUE(TRIM(H67))&lt;750,"Long",TRUE,"Very Long")</f>
        <v>Medium</v>
      </c>
      <c r="J67" t="s">
        <v>150</v>
      </c>
      <c r="K67" t="str" cm="1">
        <f t="array" ref="K67">_xlfn.IFS(VALUE(TRIM(J67))&lt;0,"BC",VALUE(TRIM(J67))&lt;200,"100",VALUE(TRIM(J67))&lt;800,"700",VALUE(TRIM(J67))&lt;900,"800",VALUE(TRIM(J67))&lt;1000,"900",VALUE(TRIM(J67))&lt;1100,"1000",VALUE(TRIM(J67))&lt;1200,"1100",VALUE(TRIM(J67))&lt;1300,"1200",VALUE(TRIM(J67))&lt;1400,"1300",VALUE(TRIM(J67))&lt;1500,"1400",VALUE(TRIM(J67))&lt;1600,"1500",VALUE(TRIM(J67))&lt;1700,"1600",VALUE(TRIM(J67))&lt;1800,"1700",VALUE(TRIM(J67))&lt;1900,"1800",VALUE(TRIM(J67))&lt;2000,"1900",VALUE(TRIM(J67))&lt;2100,"2000")</f>
        <v>2000</v>
      </c>
      <c r="M67" s="1" t="str">
        <f t="shared" ref="M67:M130" si="4">IF(L67="","",TEXT(L67,"mm/yyyy"))</f>
        <v/>
      </c>
      <c r="N67" s="1" t="str">
        <f t="shared" ref="N67:N128" si="5">IF(L67="","not read",L67)</f>
        <v>not read</v>
      </c>
      <c r="O67" t="s">
        <v>47</v>
      </c>
    </row>
    <row r="68" spans="1:15">
      <c r="A68" s="2" t="s">
        <v>362</v>
      </c>
      <c r="B68" t="s">
        <v>363</v>
      </c>
      <c r="C68" t="s">
        <v>364</v>
      </c>
      <c r="D68" s="2" t="s">
        <v>18</v>
      </c>
      <c r="E68" s="2" t="str">
        <f t="shared" si="3"/>
        <v>no rating</v>
      </c>
      <c r="F68" s="2" t="s">
        <v>19</v>
      </c>
      <c r="G68" t="s">
        <v>365</v>
      </c>
      <c r="H68" s="2" t="s">
        <v>366</v>
      </c>
      <c r="I68" s="3" t="str" cm="1">
        <f t="array" ref="I68">_xlfn.IFS(VALUE(TRIM(H68))&lt;300,"Short",VALUE(TRIM(H68))&lt;450,"Medium",VALUE(TRIM(H68))&lt;750,"Long",TRUE,"Very Long")</f>
        <v>Short</v>
      </c>
      <c r="J68" t="s">
        <v>150</v>
      </c>
      <c r="K68" t="str" cm="1">
        <f t="array" ref="K68">_xlfn.IFS(VALUE(TRIM(J68))&lt;0,"BC",VALUE(TRIM(J68))&lt;200,"100",VALUE(TRIM(J68))&lt;800,"700",VALUE(TRIM(J68))&lt;900,"800",VALUE(TRIM(J68))&lt;1000,"900",VALUE(TRIM(J68))&lt;1100,"1000",VALUE(TRIM(J68))&lt;1200,"1100",VALUE(TRIM(J68))&lt;1300,"1200",VALUE(TRIM(J68))&lt;1400,"1300",VALUE(TRIM(J68))&lt;1500,"1400",VALUE(TRIM(J68))&lt;1600,"1500",VALUE(TRIM(J68))&lt;1700,"1600",VALUE(TRIM(J68))&lt;1800,"1700",VALUE(TRIM(J68))&lt;1900,"1800",VALUE(TRIM(J68))&lt;2000,"1900",VALUE(TRIM(J68))&lt;2100,"2000")</f>
        <v>2000</v>
      </c>
      <c r="M68" s="1" t="str">
        <f t="shared" si="4"/>
        <v/>
      </c>
      <c r="N68" s="1" t="str">
        <f t="shared" si="5"/>
        <v>not read</v>
      </c>
      <c r="O68" t="s">
        <v>47</v>
      </c>
    </row>
    <row r="69" spans="1:15">
      <c r="A69" s="2" t="s">
        <v>367</v>
      </c>
      <c r="B69" t="s">
        <v>368</v>
      </c>
      <c r="C69" t="s">
        <v>369</v>
      </c>
      <c r="D69" s="2" t="s">
        <v>370</v>
      </c>
      <c r="E69" s="2" t="str">
        <f t="shared" si="3"/>
        <v>5</v>
      </c>
      <c r="F69" s="2" t="s">
        <v>325</v>
      </c>
      <c r="G69" t="s">
        <v>275</v>
      </c>
      <c r="H69" s="2" t="s">
        <v>30</v>
      </c>
      <c r="I69" s="3" t="str" cm="1">
        <f t="array" ref="I69">_xlfn.IFS(VALUE(TRIM(H69))&lt;300,"Short",VALUE(TRIM(H69))&lt;450,"Medium",VALUE(TRIM(H69))&lt;750,"Long",TRUE,"Very Long")</f>
        <v>Medium</v>
      </c>
      <c r="J69" t="s">
        <v>259</v>
      </c>
      <c r="K69" t="str" cm="1">
        <f t="array" ref="K69">_xlfn.IFS(VALUE(TRIM(J69))&lt;0,"BC",VALUE(TRIM(J69))&lt;200,"100",VALUE(TRIM(J69))&lt;800,"700",VALUE(TRIM(J69))&lt;900,"800",VALUE(TRIM(J69))&lt;1000,"900",VALUE(TRIM(J69))&lt;1100,"1000",VALUE(TRIM(J69))&lt;1200,"1100",VALUE(TRIM(J69))&lt;1300,"1200",VALUE(TRIM(J69))&lt;1400,"1300",VALUE(TRIM(J69))&lt;1500,"1400",VALUE(TRIM(J69))&lt;1600,"1500",VALUE(TRIM(J69))&lt;1700,"1600",VALUE(TRIM(J69))&lt;1800,"1700",VALUE(TRIM(J69))&lt;1900,"1800",VALUE(TRIM(J69))&lt;2000,"1900",VALUE(TRIM(J69))&lt;2100,"2000")</f>
        <v>2000</v>
      </c>
      <c r="L69" s="1">
        <v>45346</v>
      </c>
      <c r="M69" s="1" t="str">
        <f t="shared" si="4"/>
        <v>02/2024</v>
      </c>
      <c r="N69" s="1">
        <f t="shared" si="5"/>
        <v>45346</v>
      </c>
      <c r="O69" t="s">
        <v>32</v>
      </c>
    </row>
    <row r="70" spans="1:15">
      <c r="A70" s="2" t="s">
        <v>371</v>
      </c>
      <c r="B70" t="s">
        <v>372</v>
      </c>
      <c r="C70" t="s">
        <v>373</v>
      </c>
      <c r="D70" s="2" t="s">
        <v>370</v>
      </c>
      <c r="E70" s="2" t="str">
        <f t="shared" si="3"/>
        <v>5</v>
      </c>
      <c r="F70" s="2" t="s">
        <v>325</v>
      </c>
      <c r="G70" t="s">
        <v>320</v>
      </c>
      <c r="H70" s="2" t="s">
        <v>374</v>
      </c>
      <c r="I70" s="3" t="str" cm="1">
        <f t="array" ref="I70">_xlfn.IFS(VALUE(TRIM(H70))&lt;300,"Short",VALUE(TRIM(H70))&lt;450,"Medium",VALUE(TRIM(H70))&lt;750,"Long",TRUE,"Very Long")</f>
        <v>Short</v>
      </c>
      <c r="J70" t="s">
        <v>208</v>
      </c>
      <c r="K70" t="str" cm="1">
        <f t="array" ref="K70">_xlfn.IFS(VALUE(TRIM(J70))&lt;0,"BC",VALUE(TRIM(J70))&lt;200,"100",VALUE(TRIM(J70))&lt;800,"700",VALUE(TRIM(J70))&lt;900,"800",VALUE(TRIM(J70))&lt;1000,"900",VALUE(TRIM(J70))&lt;1100,"1000",VALUE(TRIM(J70))&lt;1200,"1100",VALUE(TRIM(J70))&lt;1300,"1200",VALUE(TRIM(J70))&lt;1400,"1300",VALUE(TRIM(J70))&lt;1500,"1400",VALUE(TRIM(J70))&lt;1600,"1500",VALUE(TRIM(J70))&lt;1700,"1600",VALUE(TRIM(J70))&lt;1800,"1700",VALUE(TRIM(J70))&lt;1900,"1800",VALUE(TRIM(J70))&lt;2000,"1900",VALUE(TRIM(J70))&lt;2100,"2000")</f>
        <v>2000</v>
      </c>
      <c r="L70" s="1">
        <v>44976</v>
      </c>
      <c r="M70" s="1" t="str">
        <f t="shared" si="4"/>
        <v>02/2023</v>
      </c>
      <c r="N70" s="1">
        <f t="shared" si="5"/>
        <v>44976</v>
      </c>
      <c r="O70" t="s">
        <v>32</v>
      </c>
    </row>
    <row r="71" spans="1:15">
      <c r="A71" s="2" t="s">
        <v>375</v>
      </c>
      <c r="B71" t="s">
        <v>376</v>
      </c>
      <c r="C71" t="s">
        <v>377</v>
      </c>
      <c r="D71" s="2" t="s">
        <v>370</v>
      </c>
      <c r="E71" s="2" t="str">
        <f t="shared" si="3"/>
        <v>5</v>
      </c>
      <c r="F71" s="2" t="s">
        <v>69</v>
      </c>
      <c r="G71" t="s">
        <v>378</v>
      </c>
      <c r="H71" s="2" t="s">
        <v>379</v>
      </c>
      <c r="I71" s="3" t="str" cm="1">
        <f t="array" ref="I71">_xlfn.IFS(VALUE(TRIM(H71))&lt;300,"Short",VALUE(TRIM(H71))&lt;450,"Medium",VALUE(TRIM(H71))&lt;750,"Long",TRUE,"Very Long")</f>
        <v>Medium</v>
      </c>
      <c r="J71" t="s">
        <v>85</v>
      </c>
      <c r="K71" t="str" cm="1">
        <f t="array" ref="K71">_xlfn.IFS(VALUE(TRIM(J71))&lt;0,"BC",VALUE(TRIM(J71))&lt;200,"100",VALUE(TRIM(J71))&lt;800,"700",VALUE(TRIM(J71))&lt;900,"800",VALUE(TRIM(J71))&lt;1000,"900",VALUE(TRIM(J71))&lt;1100,"1000",VALUE(TRIM(J71))&lt;1200,"1100",VALUE(TRIM(J71))&lt;1300,"1200",VALUE(TRIM(J71))&lt;1400,"1300",VALUE(TRIM(J71))&lt;1500,"1400",VALUE(TRIM(J71))&lt;1600,"1500",VALUE(TRIM(J71))&lt;1700,"1600",VALUE(TRIM(J71))&lt;1800,"1700",VALUE(TRIM(J71))&lt;1900,"1800",VALUE(TRIM(J71))&lt;2000,"1900",VALUE(TRIM(J71))&lt;2100,"2000")</f>
        <v>2000</v>
      </c>
      <c r="L71" s="1">
        <v>44394</v>
      </c>
      <c r="M71" s="1" t="str">
        <f t="shared" si="4"/>
        <v>07/2021</v>
      </c>
      <c r="N71" s="1">
        <f t="shared" si="5"/>
        <v>44394</v>
      </c>
      <c r="O71" t="s">
        <v>32</v>
      </c>
    </row>
    <row r="72" spans="1:15">
      <c r="A72" s="2" t="s">
        <v>380</v>
      </c>
      <c r="B72" t="s">
        <v>381</v>
      </c>
      <c r="C72" t="s">
        <v>382</v>
      </c>
      <c r="D72" s="2" t="s">
        <v>370</v>
      </c>
      <c r="E72" s="2" t="str">
        <f t="shared" si="3"/>
        <v>5</v>
      </c>
      <c r="F72" s="2" t="s">
        <v>82</v>
      </c>
      <c r="G72" t="s">
        <v>320</v>
      </c>
      <c r="H72" s="2" t="s">
        <v>383</v>
      </c>
      <c r="I72" s="3" t="str" cm="1">
        <f t="array" ref="I72">_xlfn.IFS(VALUE(TRIM(H72))&lt;300,"Short",VALUE(TRIM(H72))&lt;450,"Medium",VALUE(TRIM(H72))&lt;750,"Long",TRUE,"Very Long")</f>
        <v>Long</v>
      </c>
      <c r="J72" t="s">
        <v>384</v>
      </c>
      <c r="K72" t="str" cm="1">
        <f t="array" ref="K72">_xlfn.IFS(VALUE(TRIM(J72))&lt;0,"BC",VALUE(TRIM(J72))&lt;200,"100",VALUE(TRIM(J72))&lt;800,"700",VALUE(TRIM(J72))&lt;900,"800",VALUE(TRIM(J72))&lt;1000,"900",VALUE(TRIM(J72))&lt;1100,"1000",VALUE(TRIM(J72))&lt;1200,"1100",VALUE(TRIM(J72))&lt;1300,"1200",VALUE(TRIM(J72))&lt;1400,"1300",VALUE(TRIM(J72))&lt;1500,"1400",VALUE(TRIM(J72))&lt;1600,"1500",VALUE(TRIM(J72))&lt;1700,"1600",VALUE(TRIM(J72))&lt;1800,"1700",VALUE(TRIM(J72))&lt;1900,"1800",VALUE(TRIM(J72))&lt;2000,"1900",VALUE(TRIM(J72))&lt;2100,"2000")</f>
        <v>2000</v>
      </c>
      <c r="L72" s="1">
        <v>44822</v>
      </c>
      <c r="M72" s="1" t="str">
        <f t="shared" si="4"/>
        <v>09/2022</v>
      </c>
      <c r="N72" s="1">
        <f t="shared" si="5"/>
        <v>44822</v>
      </c>
      <c r="O72" t="s">
        <v>32</v>
      </c>
    </row>
    <row r="73" spans="1:15">
      <c r="A73" s="2" t="s">
        <v>385</v>
      </c>
      <c r="B73" t="s">
        <v>386</v>
      </c>
      <c r="C73" t="s">
        <v>387</v>
      </c>
      <c r="D73" s="2" t="s">
        <v>370</v>
      </c>
      <c r="E73" s="2" t="str">
        <f t="shared" si="3"/>
        <v>5</v>
      </c>
      <c r="F73" s="2" t="s">
        <v>82</v>
      </c>
      <c r="G73" t="s">
        <v>388</v>
      </c>
      <c r="H73" s="2" t="s">
        <v>30</v>
      </c>
      <c r="I73" s="3" t="str" cm="1">
        <f t="array" ref="I73">_xlfn.IFS(VALUE(TRIM(H73))&lt;300,"Short",VALUE(TRIM(H73))&lt;450,"Medium",VALUE(TRIM(H73))&lt;750,"Long",TRUE,"Very Long")</f>
        <v>Medium</v>
      </c>
      <c r="J73" t="s">
        <v>46</v>
      </c>
      <c r="K73" t="str" cm="1">
        <f t="array" ref="K73">_xlfn.IFS(VALUE(TRIM(J73))&lt;0,"BC",VALUE(TRIM(J73))&lt;200,"100",VALUE(TRIM(J73))&lt;800,"700",VALUE(TRIM(J73))&lt;900,"800",VALUE(TRIM(J73))&lt;1000,"900",VALUE(TRIM(J73))&lt;1100,"1000",VALUE(TRIM(J73))&lt;1200,"1100",VALUE(TRIM(J73))&lt;1300,"1200",VALUE(TRIM(J73))&lt;1400,"1300",VALUE(TRIM(J73))&lt;1500,"1400",VALUE(TRIM(J73))&lt;1600,"1500",VALUE(TRIM(J73))&lt;1700,"1600",VALUE(TRIM(J73))&lt;1800,"1700",VALUE(TRIM(J73))&lt;1900,"1800",VALUE(TRIM(J73))&lt;2000,"1900",VALUE(TRIM(J73))&lt;2100,"2000")</f>
        <v>2000</v>
      </c>
      <c r="L73" s="1">
        <v>44379</v>
      </c>
      <c r="M73" s="1" t="str">
        <f t="shared" si="4"/>
        <v>07/2021</v>
      </c>
      <c r="N73" s="1">
        <f t="shared" si="5"/>
        <v>44379</v>
      </c>
      <c r="O73" t="s">
        <v>32</v>
      </c>
    </row>
    <row r="74" spans="1:15">
      <c r="A74" s="2" t="s">
        <v>389</v>
      </c>
      <c r="B74" t="s">
        <v>390</v>
      </c>
      <c r="C74" t="s">
        <v>391</v>
      </c>
      <c r="D74" s="2" t="s">
        <v>370</v>
      </c>
      <c r="E74" s="2" t="str">
        <f t="shared" si="3"/>
        <v>5</v>
      </c>
      <c r="F74" s="2" t="s">
        <v>82</v>
      </c>
      <c r="G74" t="s">
        <v>392</v>
      </c>
      <c r="H74" s="2" t="s">
        <v>393</v>
      </c>
      <c r="I74" s="3" t="str" cm="1">
        <f t="array" ref="I74">_xlfn.IFS(VALUE(TRIM(H74))&lt;300,"Short",VALUE(TRIM(H74))&lt;450,"Medium",VALUE(TRIM(H74))&lt;750,"Long",TRUE,"Very Long")</f>
        <v>Long</v>
      </c>
      <c r="J74" t="s">
        <v>72</v>
      </c>
      <c r="K74" t="str" cm="1">
        <f t="array" ref="K74">_xlfn.IFS(VALUE(TRIM(J74))&lt;0,"BC",VALUE(TRIM(J74))&lt;200,"100",VALUE(TRIM(J74))&lt;800,"700",VALUE(TRIM(J74))&lt;900,"800",VALUE(TRIM(J74))&lt;1000,"900",VALUE(TRIM(J74))&lt;1100,"1000",VALUE(TRIM(J74))&lt;1200,"1100",VALUE(TRIM(J74))&lt;1300,"1200",VALUE(TRIM(J74))&lt;1400,"1300",VALUE(TRIM(J74))&lt;1500,"1400",VALUE(TRIM(J74))&lt;1600,"1500",VALUE(TRIM(J74))&lt;1700,"1600",VALUE(TRIM(J74))&lt;1800,"1700",VALUE(TRIM(J74))&lt;1900,"1800",VALUE(TRIM(J74))&lt;2000,"1900",VALUE(TRIM(J74))&lt;2100,"2000")</f>
        <v>1900</v>
      </c>
      <c r="M74" s="1" t="str">
        <f t="shared" si="4"/>
        <v/>
      </c>
      <c r="N74" s="1" t="str">
        <f t="shared" si="5"/>
        <v>not read</v>
      </c>
      <c r="O74" t="s">
        <v>32</v>
      </c>
    </row>
    <row r="75" spans="1:15">
      <c r="A75" s="2" t="s">
        <v>394</v>
      </c>
      <c r="B75" t="s">
        <v>395</v>
      </c>
      <c r="C75" t="s">
        <v>396</v>
      </c>
      <c r="D75" s="2" t="s">
        <v>370</v>
      </c>
      <c r="E75" s="2" t="str">
        <f t="shared" si="3"/>
        <v>5</v>
      </c>
      <c r="F75" s="2" t="s">
        <v>69</v>
      </c>
      <c r="G75" t="s">
        <v>397</v>
      </c>
      <c r="H75" s="2" t="s">
        <v>398</v>
      </c>
      <c r="I75" s="3" t="str" cm="1">
        <f t="array" ref="I75">_xlfn.IFS(VALUE(TRIM(H75))&lt;300,"Short",VALUE(TRIM(H75))&lt;450,"Medium",VALUE(TRIM(H75))&lt;750,"Long",TRUE,"Very Long")</f>
        <v>Medium</v>
      </c>
      <c r="J75" t="s">
        <v>163</v>
      </c>
      <c r="K75" t="str" cm="1">
        <f t="array" ref="K75">_xlfn.IFS(VALUE(TRIM(J75))&lt;0,"BC",VALUE(TRIM(J75))&lt;200,"100",VALUE(TRIM(J75))&lt;800,"700",VALUE(TRIM(J75))&lt;900,"800",VALUE(TRIM(J75))&lt;1000,"900",VALUE(TRIM(J75))&lt;1100,"1000",VALUE(TRIM(J75))&lt;1200,"1100",VALUE(TRIM(J75))&lt;1300,"1200",VALUE(TRIM(J75))&lt;1400,"1300",VALUE(TRIM(J75))&lt;1500,"1400",VALUE(TRIM(J75))&lt;1600,"1500",VALUE(TRIM(J75))&lt;1700,"1600",VALUE(TRIM(J75))&lt;1800,"1700",VALUE(TRIM(J75))&lt;1900,"1800",VALUE(TRIM(J75))&lt;2000,"1900",VALUE(TRIM(J75))&lt;2100,"2000")</f>
        <v>2000</v>
      </c>
      <c r="L75" s="1">
        <v>44306</v>
      </c>
      <c r="M75" s="1" t="str">
        <f t="shared" si="4"/>
        <v>04/2021</v>
      </c>
      <c r="N75" s="1">
        <f t="shared" si="5"/>
        <v>44306</v>
      </c>
      <c r="O75" t="s">
        <v>32</v>
      </c>
    </row>
    <row r="76" spans="1:15">
      <c r="A76" s="2" t="s">
        <v>399</v>
      </c>
      <c r="B76" t="s">
        <v>400</v>
      </c>
      <c r="C76" t="s">
        <v>401</v>
      </c>
      <c r="D76" s="2" t="s">
        <v>370</v>
      </c>
      <c r="E76" s="2" t="str">
        <f t="shared" si="3"/>
        <v>5</v>
      </c>
      <c r="F76" s="2" t="s">
        <v>28</v>
      </c>
      <c r="G76" t="s">
        <v>258</v>
      </c>
      <c r="H76" s="2" t="s">
        <v>402</v>
      </c>
      <c r="I76" s="3" t="str" cm="1">
        <f t="array" ref="I76">_xlfn.IFS(VALUE(TRIM(H76))&lt;300,"Short",VALUE(TRIM(H76))&lt;450,"Medium",VALUE(TRIM(H76))&lt;750,"Long",TRUE,"Very Long")</f>
        <v>Short</v>
      </c>
      <c r="J76" t="s">
        <v>403</v>
      </c>
      <c r="K76" t="str" cm="1">
        <f t="array" ref="K76">_xlfn.IFS(VALUE(TRIM(J76))&lt;0,"BC",VALUE(TRIM(J76))&lt;200,"100",VALUE(TRIM(J76))&lt;800,"700",VALUE(TRIM(J76))&lt;900,"800",VALUE(TRIM(J76))&lt;1000,"900",VALUE(TRIM(J76))&lt;1100,"1000",VALUE(TRIM(J76))&lt;1200,"1100",VALUE(TRIM(J76))&lt;1300,"1200",VALUE(TRIM(J76))&lt;1400,"1300",VALUE(TRIM(J76))&lt;1500,"1400",VALUE(TRIM(J76))&lt;1600,"1500",VALUE(TRIM(J76))&lt;1700,"1600",VALUE(TRIM(J76))&lt;1800,"1700",VALUE(TRIM(J76))&lt;1900,"1800",VALUE(TRIM(J76))&lt;2000,"1900",VALUE(TRIM(J76))&lt;2100,"2000")</f>
        <v>1900</v>
      </c>
      <c r="M76" s="1" t="str">
        <f t="shared" si="4"/>
        <v/>
      </c>
      <c r="N76" s="1" t="str">
        <f t="shared" si="5"/>
        <v>not read</v>
      </c>
      <c r="O76" t="s">
        <v>32</v>
      </c>
    </row>
    <row r="77" spans="1:15">
      <c r="A77" s="2" t="s">
        <v>404</v>
      </c>
      <c r="B77" t="s">
        <v>405</v>
      </c>
      <c r="C77" t="s">
        <v>406</v>
      </c>
      <c r="D77" s="2" t="s">
        <v>370</v>
      </c>
      <c r="E77" s="2" t="str">
        <f t="shared" si="3"/>
        <v>5</v>
      </c>
      <c r="F77" s="2" t="s">
        <v>19</v>
      </c>
      <c r="G77" t="s">
        <v>407</v>
      </c>
      <c r="H77" s="2" t="s">
        <v>408</v>
      </c>
      <c r="I77" s="3" t="str" cm="1">
        <f t="array" ref="I77">_xlfn.IFS(VALUE(TRIM(H77))&lt;300,"Short",VALUE(TRIM(H77))&lt;450,"Medium",VALUE(TRIM(H77))&lt;750,"Long",TRUE,"Very Long")</f>
        <v>Short</v>
      </c>
      <c r="J77" t="s">
        <v>409</v>
      </c>
      <c r="K77" t="str" cm="1">
        <f t="array" ref="K77">_xlfn.IFS(VALUE(TRIM(J77))&lt;0,"BC",VALUE(TRIM(J77))&lt;200,"100",VALUE(TRIM(J77))&lt;800,"700",VALUE(TRIM(J77))&lt;900,"800",VALUE(TRIM(J77))&lt;1000,"900",VALUE(TRIM(J77))&lt;1100,"1000",VALUE(TRIM(J77))&lt;1200,"1100",VALUE(TRIM(J77))&lt;1300,"1200",VALUE(TRIM(J77))&lt;1400,"1300",VALUE(TRIM(J77))&lt;1500,"1400",VALUE(TRIM(J77))&lt;1600,"1500",VALUE(TRIM(J77))&lt;1700,"1600",VALUE(TRIM(J77))&lt;1800,"1700",VALUE(TRIM(J77))&lt;1900,"1800",VALUE(TRIM(J77))&lt;2000,"1900",VALUE(TRIM(J77))&lt;2100,"2000")</f>
        <v>1900</v>
      </c>
      <c r="L77" s="1">
        <v>45426</v>
      </c>
      <c r="M77" s="1" t="str">
        <f t="shared" si="4"/>
        <v>05/2024</v>
      </c>
      <c r="N77" s="1">
        <f t="shared" si="5"/>
        <v>45426</v>
      </c>
      <c r="O77" t="s">
        <v>32</v>
      </c>
    </row>
    <row r="78" spans="1:15">
      <c r="A78" s="2" t="s">
        <v>410</v>
      </c>
      <c r="B78" t="s">
        <v>411</v>
      </c>
      <c r="C78" t="s">
        <v>412</v>
      </c>
      <c r="D78" s="2" t="s">
        <v>370</v>
      </c>
      <c r="E78" s="2" t="str">
        <f t="shared" si="3"/>
        <v>5</v>
      </c>
      <c r="F78" s="2" t="s">
        <v>28</v>
      </c>
      <c r="G78" t="s">
        <v>413</v>
      </c>
      <c r="H78" s="2" t="s">
        <v>414</v>
      </c>
      <c r="I78" s="3" t="str" cm="1">
        <f t="array" ref="I78">_xlfn.IFS(VALUE(TRIM(H78))&lt;300,"Short",VALUE(TRIM(H78))&lt;450,"Medium",VALUE(TRIM(H78))&lt;750,"Long",TRUE,"Very Long")</f>
        <v>Long</v>
      </c>
      <c r="J78" t="s">
        <v>415</v>
      </c>
      <c r="K78" t="str" cm="1">
        <f t="array" ref="K78">_xlfn.IFS(VALUE(TRIM(J78))&lt;0,"BC",VALUE(TRIM(J78))&lt;200,"100",VALUE(TRIM(J78))&lt;800,"700",VALUE(TRIM(J78))&lt;900,"800",VALUE(TRIM(J78))&lt;1000,"900",VALUE(TRIM(J78))&lt;1100,"1000",VALUE(TRIM(J78))&lt;1200,"1100",VALUE(TRIM(J78))&lt;1300,"1200",VALUE(TRIM(J78))&lt;1400,"1300",VALUE(TRIM(J78))&lt;1500,"1400",VALUE(TRIM(J78))&lt;1600,"1500",VALUE(TRIM(J78))&lt;1700,"1600",VALUE(TRIM(J78))&lt;1800,"1700",VALUE(TRIM(J78))&lt;1900,"1800",VALUE(TRIM(J78))&lt;2000,"1900",VALUE(TRIM(J78))&lt;2100,"2000")</f>
        <v>2000</v>
      </c>
      <c r="L78" s="1">
        <v>45324</v>
      </c>
      <c r="M78" s="1" t="str">
        <f t="shared" si="4"/>
        <v>02/2024</v>
      </c>
      <c r="N78" s="1">
        <f t="shared" si="5"/>
        <v>45324</v>
      </c>
      <c r="O78" t="s">
        <v>32</v>
      </c>
    </row>
    <row r="79" spans="1:15">
      <c r="A79" s="2" t="s">
        <v>416</v>
      </c>
      <c r="B79" t="s">
        <v>417</v>
      </c>
      <c r="C79" t="s">
        <v>418</v>
      </c>
      <c r="D79" s="2" t="s">
        <v>18</v>
      </c>
      <c r="E79" s="2" t="str">
        <f t="shared" si="3"/>
        <v>no rating</v>
      </c>
      <c r="F79" s="2" t="s">
        <v>36</v>
      </c>
      <c r="G79" t="s">
        <v>419</v>
      </c>
      <c r="H79" s="2" t="s">
        <v>420</v>
      </c>
      <c r="I79" s="3" t="str" cm="1">
        <f t="array" ref="I79">_xlfn.IFS(VALUE(TRIM(H79))&lt;300,"Short",VALUE(TRIM(H79))&lt;450,"Medium",VALUE(TRIM(H79))&lt;750,"Long",TRUE,"Very Long")</f>
        <v>Medium</v>
      </c>
      <c r="J79" t="s">
        <v>150</v>
      </c>
      <c r="K79" t="str" cm="1">
        <f t="array" ref="K79">_xlfn.IFS(VALUE(TRIM(J79))&lt;0,"BC",VALUE(TRIM(J79))&lt;200,"100",VALUE(TRIM(J79))&lt;800,"700",VALUE(TRIM(J79))&lt;900,"800",VALUE(TRIM(J79))&lt;1000,"900",VALUE(TRIM(J79))&lt;1100,"1000",VALUE(TRIM(J79))&lt;1200,"1100",VALUE(TRIM(J79))&lt;1300,"1200",VALUE(TRIM(J79))&lt;1400,"1300",VALUE(TRIM(J79))&lt;1500,"1400",VALUE(TRIM(J79))&lt;1600,"1500",VALUE(TRIM(J79))&lt;1700,"1600",VALUE(TRIM(J79))&lt;1800,"1700",VALUE(TRIM(J79))&lt;1900,"1800",VALUE(TRIM(J79))&lt;2000,"1900",VALUE(TRIM(J79))&lt;2100,"2000")</f>
        <v>2000</v>
      </c>
      <c r="M79" s="1" t="str">
        <f t="shared" si="4"/>
        <v/>
      </c>
      <c r="N79" s="1" t="str">
        <f t="shared" si="5"/>
        <v>not read</v>
      </c>
      <c r="O79" t="s">
        <v>47</v>
      </c>
    </row>
    <row r="80" spans="1:15">
      <c r="A80" s="2" t="s">
        <v>421</v>
      </c>
      <c r="B80" t="s">
        <v>422</v>
      </c>
      <c r="C80" t="s">
        <v>423</v>
      </c>
      <c r="D80" s="2" t="s">
        <v>18</v>
      </c>
      <c r="E80" s="2" t="str">
        <f t="shared" si="3"/>
        <v>no rating</v>
      </c>
      <c r="F80" s="2" t="s">
        <v>36</v>
      </c>
      <c r="G80" t="s">
        <v>424</v>
      </c>
      <c r="H80" s="2" t="s">
        <v>425</v>
      </c>
      <c r="I80" s="3" t="str" cm="1">
        <f t="array" ref="I80">_xlfn.IFS(VALUE(TRIM(H80))&lt;300,"Short",VALUE(TRIM(H80))&lt;450,"Medium",VALUE(TRIM(H80))&lt;750,"Long",TRUE,"Very Long")</f>
        <v>Short</v>
      </c>
      <c r="J80" t="s">
        <v>426</v>
      </c>
      <c r="K80" t="str" cm="1">
        <f t="array" ref="K80">_xlfn.IFS(VALUE(TRIM(J80))&lt;0,"BC",VALUE(TRIM(J80))&lt;200,"100",VALUE(TRIM(J80))&lt;800,"700",VALUE(TRIM(J80))&lt;900,"800",VALUE(TRIM(J80))&lt;1000,"900",VALUE(TRIM(J80))&lt;1100,"1000",VALUE(TRIM(J80))&lt;1200,"1100",VALUE(TRIM(J80))&lt;1300,"1200",VALUE(TRIM(J80))&lt;1400,"1300",VALUE(TRIM(J80))&lt;1500,"1400",VALUE(TRIM(J80))&lt;1600,"1500",VALUE(TRIM(J80))&lt;1700,"1600",VALUE(TRIM(J80))&lt;1800,"1700",VALUE(TRIM(J80))&lt;1900,"1800",VALUE(TRIM(J80))&lt;2000,"1900",VALUE(TRIM(J80))&lt;2100,"2000")</f>
        <v>2000</v>
      </c>
      <c r="M80" s="1" t="str">
        <f t="shared" si="4"/>
        <v/>
      </c>
      <c r="N80" s="1" t="str">
        <f t="shared" si="5"/>
        <v>not read</v>
      </c>
      <c r="O80" t="s">
        <v>47</v>
      </c>
    </row>
    <row r="81" spans="1:15">
      <c r="A81" s="2" t="s">
        <v>427</v>
      </c>
      <c r="B81" t="s">
        <v>428</v>
      </c>
      <c r="C81" t="s">
        <v>17</v>
      </c>
      <c r="D81" s="2" t="s">
        <v>18</v>
      </c>
      <c r="E81" s="2" t="str">
        <f t="shared" si="3"/>
        <v>no rating</v>
      </c>
      <c r="F81" s="2" t="s">
        <v>43</v>
      </c>
      <c r="G81" t="s">
        <v>281</v>
      </c>
      <c r="H81" s="2" t="s">
        <v>429</v>
      </c>
      <c r="I81" s="3" t="str" cm="1">
        <f t="array" ref="I81">_xlfn.IFS(VALUE(TRIM(H81))&lt;300,"Short",VALUE(TRIM(H81))&lt;450,"Medium",VALUE(TRIM(H81))&lt;750,"Long",TRUE,"Very Long")</f>
        <v>Short</v>
      </c>
      <c r="J81" t="s">
        <v>430</v>
      </c>
      <c r="K81" t="str" cm="1">
        <f t="array" ref="K81">_xlfn.IFS(VALUE(TRIM(J81))&lt;0,"BC",VALUE(TRIM(J81))&lt;200,"100",VALUE(TRIM(J81))&lt;800,"700",VALUE(TRIM(J81))&lt;900,"800",VALUE(TRIM(J81))&lt;1000,"900",VALUE(TRIM(J81))&lt;1100,"1000",VALUE(TRIM(J81))&lt;1200,"1100",VALUE(TRIM(J81))&lt;1300,"1200",VALUE(TRIM(J81))&lt;1400,"1300",VALUE(TRIM(J81))&lt;1500,"1400",VALUE(TRIM(J81))&lt;1600,"1500",VALUE(TRIM(J81))&lt;1700,"1600",VALUE(TRIM(J81))&lt;1800,"1700",VALUE(TRIM(J81))&lt;1900,"1800",VALUE(TRIM(J81))&lt;2000,"1900",VALUE(TRIM(J81))&lt;2100,"2000")</f>
        <v>1800</v>
      </c>
      <c r="M81" s="1" t="str">
        <f t="shared" si="4"/>
        <v/>
      </c>
      <c r="N81" s="1" t="str">
        <f t="shared" si="5"/>
        <v>not read</v>
      </c>
      <c r="O81" t="s">
        <v>47</v>
      </c>
    </row>
    <row r="82" spans="1:15">
      <c r="A82" s="2" t="s">
        <v>431</v>
      </c>
      <c r="B82" t="s">
        <v>432</v>
      </c>
      <c r="C82" t="s">
        <v>433</v>
      </c>
      <c r="D82" s="2" t="s">
        <v>18</v>
      </c>
      <c r="E82" s="2" t="str">
        <f t="shared" si="3"/>
        <v>no rating</v>
      </c>
      <c r="F82" s="2" t="s">
        <v>28</v>
      </c>
      <c r="G82" t="s">
        <v>434</v>
      </c>
      <c r="H82" s="2" t="s">
        <v>435</v>
      </c>
      <c r="I82" s="3" t="str" cm="1">
        <f t="array" ref="I82">_xlfn.IFS(VALUE(TRIM(H82))&lt;300,"Short",VALUE(TRIM(H82))&lt;450,"Medium",VALUE(TRIM(H82))&lt;750,"Long",TRUE,"Very Long")</f>
        <v>Short</v>
      </c>
      <c r="J82" t="s">
        <v>436</v>
      </c>
      <c r="K82" t="str" cm="1">
        <f t="array" ref="K82">_xlfn.IFS(VALUE(TRIM(J82))&lt;0,"BC",VALUE(TRIM(J82))&lt;200,"100",VALUE(TRIM(J82))&lt;800,"700",VALUE(TRIM(J82))&lt;900,"800",VALUE(TRIM(J82))&lt;1000,"900",VALUE(TRIM(J82))&lt;1100,"1000",VALUE(TRIM(J82))&lt;1200,"1100",VALUE(TRIM(J82))&lt;1300,"1200",VALUE(TRIM(J82))&lt;1400,"1300",VALUE(TRIM(J82))&lt;1500,"1400",VALUE(TRIM(J82))&lt;1600,"1500",VALUE(TRIM(J82))&lt;1700,"1600",VALUE(TRIM(J82))&lt;1800,"1700",VALUE(TRIM(J82))&lt;1900,"1800",VALUE(TRIM(J82))&lt;2000,"1900",VALUE(TRIM(J82))&lt;2100,"2000")</f>
        <v>1900</v>
      </c>
      <c r="M82" s="1" t="str">
        <f t="shared" si="4"/>
        <v/>
      </c>
      <c r="N82" s="1" t="str">
        <f t="shared" si="5"/>
        <v>not read</v>
      </c>
      <c r="O82" t="s">
        <v>47</v>
      </c>
    </row>
    <row r="83" spans="1:15">
      <c r="A83" s="2" t="s">
        <v>437</v>
      </c>
      <c r="B83" t="s">
        <v>438</v>
      </c>
      <c r="C83" t="s">
        <v>63</v>
      </c>
      <c r="D83" s="2" t="s">
        <v>18</v>
      </c>
      <c r="E83" s="2" t="str">
        <f t="shared" si="3"/>
        <v>no rating</v>
      </c>
      <c r="F83" s="2" t="s">
        <v>69</v>
      </c>
      <c r="G83" t="s">
        <v>20</v>
      </c>
      <c r="H83" s="2" t="s">
        <v>439</v>
      </c>
      <c r="I83" s="3" t="str" cm="1">
        <f t="array" ref="I83">_xlfn.IFS(VALUE(TRIM(H83))&lt;300,"Short",VALUE(TRIM(H83))&lt;450,"Medium",VALUE(TRIM(H83))&lt;750,"Long",TRUE,"Very Long")</f>
        <v>Long</v>
      </c>
      <c r="J83" t="s">
        <v>440</v>
      </c>
      <c r="K83" t="str" cm="1">
        <f t="array" ref="K83">_xlfn.IFS(VALUE(TRIM(J83))&lt;0,"BC",VALUE(TRIM(J83))&lt;200,"100",VALUE(TRIM(J83))&lt;800,"700",VALUE(TRIM(J83))&lt;900,"800",VALUE(TRIM(J83))&lt;1000,"900",VALUE(TRIM(J83))&lt;1100,"1000",VALUE(TRIM(J83))&lt;1200,"1100",VALUE(TRIM(J83))&lt;1300,"1200",VALUE(TRIM(J83))&lt;1400,"1300",VALUE(TRIM(J83))&lt;1500,"1400",VALUE(TRIM(J83))&lt;1600,"1500",VALUE(TRIM(J83))&lt;1700,"1600",VALUE(TRIM(J83))&lt;1800,"1700",VALUE(TRIM(J83))&lt;1900,"1800",VALUE(TRIM(J83))&lt;2000,"1900",VALUE(TRIM(J83))&lt;2100,"2000")</f>
        <v>1900</v>
      </c>
      <c r="M83" s="1" t="str">
        <f t="shared" si="4"/>
        <v/>
      </c>
      <c r="N83" s="1" t="str">
        <f t="shared" si="5"/>
        <v>not read</v>
      </c>
      <c r="O83" t="s">
        <v>47</v>
      </c>
    </row>
    <row r="84" spans="1:15">
      <c r="A84" s="2" t="s">
        <v>441</v>
      </c>
      <c r="B84" t="s">
        <v>442</v>
      </c>
      <c r="C84" t="s">
        <v>443</v>
      </c>
      <c r="D84" s="2" t="s">
        <v>18</v>
      </c>
      <c r="E84" s="2" t="str">
        <f t="shared" si="3"/>
        <v>no rating</v>
      </c>
      <c r="F84" s="2" t="s">
        <v>69</v>
      </c>
      <c r="G84" t="s">
        <v>444</v>
      </c>
      <c r="H84" s="2" t="s">
        <v>445</v>
      </c>
      <c r="I84" s="3" t="str" cm="1">
        <f t="array" ref="I84">_xlfn.IFS(VALUE(TRIM(H84))&lt;300,"Short",VALUE(TRIM(H84))&lt;450,"Medium",VALUE(TRIM(H84))&lt;750,"Long",TRUE,"Very Long")</f>
        <v>Medium</v>
      </c>
      <c r="J84" t="s">
        <v>150</v>
      </c>
      <c r="K84" t="str" cm="1">
        <f t="array" ref="K84">_xlfn.IFS(VALUE(TRIM(J84))&lt;0,"BC",VALUE(TRIM(J84))&lt;200,"100",VALUE(TRIM(J84))&lt;800,"700",VALUE(TRIM(J84))&lt;900,"800",VALUE(TRIM(J84))&lt;1000,"900",VALUE(TRIM(J84))&lt;1100,"1000",VALUE(TRIM(J84))&lt;1200,"1100",VALUE(TRIM(J84))&lt;1300,"1200",VALUE(TRIM(J84))&lt;1400,"1300",VALUE(TRIM(J84))&lt;1500,"1400",VALUE(TRIM(J84))&lt;1600,"1500",VALUE(TRIM(J84))&lt;1700,"1600",VALUE(TRIM(J84))&lt;1800,"1700",VALUE(TRIM(J84))&lt;1900,"1800",VALUE(TRIM(J84))&lt;2000,"1900",VALUE(TRIM(J84))&lt;2100,"2000")</f>
        <v>2000</v>
      </c>
      <c r="M84" s="1" t="str">
        <f t="shared" si="4"/>
        <v/>
      </c>
      <c r="N84" s="1" t="str">
        <f t="shared" si="5"/>
        <v>not read</v>
      </c>
      <c r="O84" t="s">
        <v>47</v>
      </c>
    </row>
    <row r="85" spans="1:15">
      <c r="A85" s="2" t="s">
        <v>446</v>
      </c>
      <c r="B85" t="s">
        <v>447</v>
      </c>
      <c r="C85" t="s">
        <v>448</v>
      </c>
      <c r="D85" s="2" t="s">
        <v>18</v>
      </c>
      <c r="E85" s="2" t="str">
        <f t="shared" si="3"/>
        <v>no rating</v>
      </c>
      <c r="F85" s="2" t="s">
        <v>449</v>
      </c>
      <c r="G85" t="s">
        <v>287</v>
      </c>
      <c r="H85" s="2" t="s">
        <v>276</v>
      </c>
      <c r="I85" s="3" t="str" cm="1">
        <f t="array" ref="I85">_xlfn.IFS(VALUE(TRIM(H85))&lt;300,"Short",VALUE(TRIM(H85))&lt;450,"Medium",VALUE(TRIM(H85))&lt;750,"Long",TRUE,"Very Long")</f>
        <v>Medium</v>
      </c>
      <c r="J85" t="s">
        <v>31</v>
      </c>
      <c r="K85" t="str" cm="1">
        <f t="array" ref="K85">_xlfn.IFS(VALUE(TRIM(J85))&lt;0,"BC",VALUE(TRIM(J85))&lt;200,"100",VALUE(TRIM(J85))&lt;800,"700",VALUE(TRIM(J85))&lt;900,"800",VALUE(TRIM(J85))&lt;1000,"900",VALUE(TRIM(J85))&lt;1100,"1000",VALUE(TRIM(J85))&lt;1200,"1100",VALUE(TRIM(J85))&lt;1300,"1200",VALUE(TRIM(J85))&lt;1400,"1300",VALUE(TRIM(J85))&lt;1500,"1400",VALUE(TRIM(J85))&lt;1600,"1500",VALUE(TRIM(J85))&lt;1700,"1600",VALUE(TRIM(J85))&lt;1800,"1700",VALUE(TRIM(J85))&lt;1900,"1800",VALUE(TRIM(J85))&lt;2000,"1900",VALUE(TRIM(J85))&lt;2100,"2000")</f>
        <v>2000</v>
      </c>
      <c r="M85" s="1" t="str">
        <f t="shared" si="4"/>
        <v/>
      </c>
      <c r="N85" s="1" t="str">
        <f t="shared" si="5"/>
        <v>not read</v>
      </c>
      <c r="O85" t="s">
        <v>47</v>
      </c>
    </row>
    <row r="86" spans="1:15">
      <c r="A86" s="2" t="s">
        <v>450</v>
      </c>
      <c r="B86" t="s">
        <v>451</v>
      </c>
      <c r="C86" t="s">
        <v>452</v>
      </c>
      <c r="D86" s="2" t="s">
        <v>18</v>
      </c>
      <c r="E86" s="2" t="str">
        <f t="shared" si="3"/>
        <v>no rating</v>
      </c>
      <c r="F86" s="2" t="s">
        <v>449</v>
      </c>
      <c r="G86" t="s">
        <v>44</v>
      </c>
      <c r="H86" s="2" t="s">
        <v>156</v>
      </c>
      <c r="I86" s="3" t="str" cm="1">
        <f t="array" ref="I86">_xlfn.IFS(VALUE(TRIM(H86))&lt;300,"Short",VALUE(TRIM(H86))&lt;450,"Medium",VALUE(TRIM(H86))&lt;750,"Long",TRUE,"Very Long")</f>
        <v>Short</v>
      </c>
      <c r="J86" t="s">
        <v>453</v>
      </c>
      <c r="K86" t="str" cm="1">
        <f t="array" ref="K86">_xlfn.IFS(VALUE(TRIM(J86))&lt;0,"BC",VALUE(TRIM(J86))&lt;200,"100",VALUE(TRIM(J86))&lt;800,"700",VALUE(TRIM(J86))&lt;900,"800",VALUE(TRIM(J86))&lt;1000,"900",VALUE(TRIM(J86))&lt;1100,"1000",VALUE(TRIM(J86))&lt;1200,"1100",VALUE(TRIM(J86))&lt;1300,"1200",VALUE(TRIM(J86))&lt;1400,"1300",VALUE(TRIM(J86))&lt;1500,"1400",VALUE(TRIM(J86))&lt;1600,"1500",VALUE(TRIM(J86))&lt;1700,"1600",VALUE(TRIM(J86))&lt;1800,"1700",VALUE(TRIM(J86))&lt;1900,"1800",VALUE(TRIM(J86))&lt;2000,"1900",VALUE(TRIM(J86))&lt;2100,"2000")</f>
        <v>2000</v>
      </c>
      <c r="M86" s="1" t="str">
        <f t="shared" si="4"/>
        <v/>
      </c>
      <c r="N86" s="1" t="str">
        <f t="shared" si="5"/>
        <v>not read</v>
      </c>
      <c r="O86" t="s">
        <v>47</v>
      </c>
    </row>
    <row r="87" spans="1:15">
      <c r="A87" s="2" t="s">
        <v>454</v>
      </c>
      <c r="B87" t="s">
        <v>455</v>
      </c>
      <c r="C87" t="s">
        <v>456</v>
      </c>
      <c r="D87" s="2" t="s">
        <v>18</v>
      </c>
      <c r="E87" s="2" t="str">
        <f t="shared" si="3"/>
        <v>no rating</v>
      </c>
      <c r="F87" s="2" t="s">
        <v>19</v>
      </c>
      <c r="G87" t="s">
        <v>20</v>
      </c>
      <c r="H87" s="2" t="s">
        <v>457</v>
      </c>
      <c r="I87" s="3" t="str" cm="1">
        <f t="array" ref="I87">_xlfn.IFS(VALUE(TRIM(H87))&lt;300,"Short",VALUE(TRIM(H87))&lt;450,"Medium",VALUE(TRIM(H87))&lt;750,"Long",TRUE,"Very Long")</f>
        <v>Medium</v>
      </c>
      <c r="J87" t="s">
        <v>46</v>
      </c>
      <c r="K87" t="str" cm="1">
        <f t="array" ref="K87">_xlfn.IFS(VALUE(TRIM(J87))&lt;0,"BC",VALUE(TRIM(J87))&lt;200,"100",VALUE(TRIM(J87))&lt;800,"700",VALUE(TRIM(J87))&lt;900,"800",VALUE(TRIM(J87))&lt;1000,"900",VALUE(TRIM(J87))&lt;1100,"1000",VALUE(TRIM(J87))&lt;1200,"1100",VALUE(TRIM(J87))&lt;1300,"1200",VALUE(TRIM(J87))&lt;1400,"1300",VALUE(TRIM(J87))&lt;1500,"1400",VALUE(TRIM(J87))&lt;1600,"1500",VALUE(TRIM(J87))&lt;1700,"1600",VALUE(TRIM(J87))&lt;1800,"1700",VALUE(TRIM(J87))&lt;1900,"1800",VALUE(TRIM(J87))&lt;2000,"1900",VALUE(TRIM(J87))&lt;2100,"2000")</f>
        <v>2000</v>
      </c>
      <c r="M87" s="1" t="str">
        <f t="shared" si="4"/>
        <v/>
      </c>
      <c r="N87" s="1" t="str">
        <f t="shared" si="5"/>
        <v>not read</v>
      </c>
      <c r="O87" t="s">
        <v>47</v>
      </c>
    </row>
    <row r="88" spans="1:15">
      <c r="A88" s="2" t="s">
        <v>458</v>
      </c>
      <c r="B88" t="s">
        <v>459</v>
      </c>
      <c r="C88" t="s">
        <v>460</v>
      </c>
      <c r="D88" s="2" t="s">
        <v>18</v>
      </c>
      <c r="E88" s="2" t="str">
        <f t="shared" si="3"/>
        <v>no rating</v>
      </c>
      <c r="F88" s="2" t="s">
        <v>69</v>
      </c>
      <c r="G88" t="s">
        <v>461</v>
      </c>
      <c r="H88" s="2" t="s">
        <v>254</v>
      </c>
      <c r="I88" s="3" t="str" cm="1">
        <f t="array" ref="I88">_xlfn.IFS(VALUE(TRIM(H88))&lt;300,"Short",VALUE(TRIM(H88))&lt;450,"Medium",VALUE(TRIM(H88))&lt;750,"Long",TRUE,"Very Long")</f>
        <v>Short</v>
      </c>
      <c r="J88" t="s">
        <v>150</v>
      </c>
      <c r="K88" t="str" cm="1">
        <f t="array" ref="K88">_xlfn.IFS(VALUE(TRIM(J88))&lt;0,"BC",VALUE(TRIM(J88))&lt;200,"100",VALUE(TRIM(J88))&lt;800,"700",VALUE(TRIM(J88))&lt;900,"800",VALUE(TRIM(J88))&lt;1000,"900",VALUE(TRIM(J88))&lt;1100,"1000",VALUE(TRIM(J88))&lt;1200,"1100",VALUE(TRIM(J88))&lt;1300,"1200",VALUE(TRIM(J88))&lt;1400,"1300",VALUE(TRIM(J88))&lt;1500,"1400",VALUE(TRIM(J88))&lt;1600,"1500",VALUE(TRIM(J88))&lt;1700,"1600",VALUE(TRIM(J88))&lt;1800,"1700",VALUE(TRIM(J88))&lt;1900,"1800",VALUE(TRIM(J88))&lt;2000,"1900",VALUE(TRIM(J88))&lt;2100,"2000")</f>
        <v>2000</v>
      </c>
      <c r="M88" s="1" t="str">
        <f t="shared" si="4"/>
        <v/>
      </c>
      <c r="N88" s="1" t="str">
        <f t="shared" si="5"/>
        <v>not read</v>
      </c>
      <c r="O88" t="s">
        <v>47</v>
      </c>
    </row>
    <row r="89" spans="1:15">
      <c r="A89" s="2" t="s">
        <v>462</v>
      </c>
      <c r="B89" t="s">
        <v>463</v>
      </c>
      <c r="C89" t="s">
        <v>464</v>
      </c>
      <c r="D89" s="2" t="s">
        <v>18</v>
      </c>
      <c r="E89" s="2" t="str">
        <f t="shared" si="3"/>
        <v>no rating</v>
      </c>
      <c r="F89" s="2" t="s">
        <v>36</v>
      </c>
      <c r="G89" t="s">
        <v>465</v>
      </c>
      <c r="H89" s="2" t="s">
        <v>156</v>
      </c>
      <c r="I89" s="3" t="str" cm="1">
        <f t="array" ref="I89">_xlfn.IFS(VALUE(TRIM(H89))&lt;300,"Short",VALUE(TRIM(H89))&lt;450,"Medium",VALUE(TRIM(H89))&lt;750,"Long",TRUE,"Very Long")</f>
        <v>Short</v>
      </c>
      <c r="J89" t="s">
        <v>384</v>
      </c>
      <c r="K89" t="str" cm="1">
        <f t="array" ref="K89">_xlfn.IFS(VALUE(TRIM(J89))&lt;0,"BC",VALUE(TRIM(J89))&lt;200,"100",VALUE(TRIM(J89))&lt;800,"700",VALUE(TRIM(J89))&lt;900,"800",VALUE(TRIM(J89))&lt;1000,"900",VALUE(TRIM(J89))&lt;1100,"1000",VALUE(TRIM(J89))&lt;1200,"1100",VALUE(TRIM(J89))&lt;1300,"1200",VALUE(TRIM(J89))&lt;1400,"1300",VALUE(TRIM(J89))&lt;1500,"1400",VALUE(TRIM(J89))&lt;1600,"1500",VALUE(TRIM(J89))&lt;1700,"1600",VALUE(TRIM(J89))&lt;1800,"1700",VALUE(TRIM(J89))&lt;1900,"1800",VALUE(TRIM(J89))&lt;2000,"1900",VALUE(TRIM(J89))&lt;2100,"2000")</f>
        <v>2000</v>
      </c>
      <c r="M89" s="1" t="str">
        <f t="shared" si="4"/>
        <v/>
      </c>
      <c r="N89" s="1" t="str">
        <f t="shared" si="5"/>
        <v>not read</v>
      </c>
      <c r="O89" t="s">
        <v>47</v>
      </c>
    </row>
    <row r="90" spans="1:15">
      <c r="A90" s="2" t="s">
        <v>466</v>
      </c>
      <c r="B90" t="s">
        <v>467</v>
      </c>
      <c r="C90" t="s">
        <v>468</v>
      </c>
      <c r="D90" s="2" t="s">
        <v>18</v>
      </c>
      <c r="E90" s="2" t="str">
        <f t="shared" si="3"/>
        <v>no rating</v>
      </c>
      <c r="F90" s="2" t="s">
        <v>154</v>
      </c>
      <c r="G90" s="5" t="s">
        <v>281</v>
      </c>
      <c r="H90" s="2" t="s">
        <v>469</v>
      </c>
      <c r="I90" s="3" t="str" cm="1">
        <f t="array" ref="I90">_xlfn.IFS(VALUE(TRIM(H90))&lt;300,"Short",VALUE(TRIM(H90))&lt;450,"Medium",VALUE(TRIM(H90))&lt;750,"Long",TRUE,"Very Long")</f>
        <v>Short</v>
      </c>
      <c r="J90" t="s">
        <v>163</v>
      </c>
      <c r="K90" t="str" cm="1">
        <f t="array" ref="K90">_xlfn.IFS(VALUE(TRIM(J90))&lt;0,"BC",VALUE(TRIM(J90))&lt;200,"100",VALUE(TRIM(J90))&lt;800,"700",VALUE(TRIM(J90))&lt;900,"800",VALUE(TRIM(J90))&lt;1000,"900",VALUE(TRIM(J90))&lt;1100,"1000",VALUE(TRIM(J90))&lt;1200,"1100",VALUE(TRIM(J90))&lt;1300,"1200",VALUE(TRIM(J90))&lt;1400,"1300",VALUE(TRIM(J90))&lt;1500,"1400",VALUE(TRIM(J90))&lt;1600,"1500",VALUE(TRIM(J90))&lt;1700,"1600",VALUE(TRIM(J90))&lt;1800,"1700",VALUE(TRIM(J90))&lt;1900,"1800",VALUE(TRIM(J90))&lt;2000,"1900",VALUE(TRIM(J90))&lt;2100,"2000")</f>
        <v>2000</v>
      </c>
      <c r="M90" s="1" t="str">
        <f t="shared" si="4"/>
        <v/>
      </c>
      <c r="N90" s="1" t="str">
        <f t="shared" si="5"/>
        <v>not read</v>
      </c>
      <c r="O90" t="s">
        <v>47</v>
      </c>
    </row>
    <row r="91" spans="1:15">
      <c r="A91" s="2" t="s">
        <v>470</v>
      </c>
      <c r="B91" t="s">
        <v>471</v>
      </c>
      <c r="C91" t="s">
        <v>472</v>
      </c>
      <c r="D91" s="2" t="s">
        <v>18</v>
      </c>
      <c r="E91" s="2" t="str">
        <f t="shared" si="3"/>
        <v>no rating</v>
      </c>
      <c r="F91" s="2" t="s">
        <v>473</v>
      </c>
      <c r="G91" s="6" t="s">
        <v>474</v>
      </c>
      <c r="H91" s="2" t="s">
        <v>475</v>
      </c>
      <c r="I91" s="3" t="str" cm="1">
        <f t="array" ref="I91">_xlfn.IFS(VALUE(TRIM(H91))&lt;300,"Short",VALUE(TRIM(H91))&lt;450,"Medium",VALUE(TRIM(H91))&lt;750,"Long",TRUE,"Very Long")</f>
        <v>Short</v>
      </c>
      <c r="J91" t="s">
        <v>110</v>
      </c>
      <c r="K91" t="str" cm="1">
        <f t="array" ref="K91">_xlfn.IFS(VALUE(TRIM(J91))&lt;0,"BC",VALUE(TRIM(J91))&lt;200,"100",VALUE(TRIM(J91))&lt;800,"700",VALUE(TRIM(J91))&lt;900,"800",VALUE(TRIM(J91))&lt;1000,"900",VALUE(TRIM(J91))&lt;1100,"1000",VALUE(TRIM(J91))&lt;1200,"1100",VALUE(TRIM(J91))&lt;1300,"1200",VALUE(TRIM(J91))&lt;1400,"1300",VALUE(TRIM(J91))&lt;1500,"1400",VALUE(TRIM(J91))&lt;1600,"1500",VALUE(TRIM(J91))&lt;1700,"1600",VALUE(TRIM(J91))&lt;1800,"1700",VALUE(TRIM(J91))&lt;1900,"1800",VALUE(TRIM(J91))&lt;2000,"1900",VALUE(TRIM(J91))&lt;2100,"2000")</f>
        <v>2000</v>
      </c>
      <c r="M91" s="1" t="str">
        <f t="shared" si="4"/>
        <v/>
      </c>
      <c r="N91" s="1" t="str">
        <f t="shared" si="5"/>
        <v>not read</v>
      </c>
      <c r="O91" t="s">
        <v>47</v>
      </c>
    </row>
    <row r="92" spans="1:15">
      <c r="A92" s="2" t="s">
        <v>476</v>
      </c>
      <c r="B92" t="s">
        <v>477</v>
      </c>
      <c r="C92" t="s">
        <v>478</v>
      </c>
      <c r="D92" s="2" t="s">
        <v>18</v>
      </c>
      <c r="E92" s="2" t="str">
        <f t="shared" si="3"/>
        <v>no rating</v>
      </c>
      <c r="F92" s="2" t="s">
        <v>28</v>
      </c>
      <c r="G92" t="s">
        <v>479</v>
      </c>
      <c r="H92" s="2" t="s">
        <v>480</v>
      </c>
      <c r="I92" s="3" t="str" cm="1">
        <f t="array" ref="I92">_xlfn.IFS(VALUE(TRIM(H92))&lt;300,"Short",VALUE(TRIM(H92))&lt;450,"Medium",VALUE(TRIM(H92))&lt;750,"Long",TRUE,"Very Long")</f>
        <v>Short</v>
      </c>
      <c r="J92" t="s">
        <v>54</v>
      </c>
      <c r="K92" t="str" cm="1">
        <f t="array" ref="K92">_xlfn.IFS(VALUE(TRIM(J92))&lt;0,"BC",VALUE(TRIM(J92))&lt;200,"100",VALUE(TRIM(J92))&lt;800,"700",VALUE(TRIM(J92))&lt;900,"800",VALUE(TRIM(J92))&lt;1000,"900",VALUE(TRIM(J92))&lt;1100,"1000",VALUE(TRIM(J92))&lt;1200,"1100",VALUE(TRIM(J92))&lt;1300,"1200",VALUE(TRIM(J92))&lt;1400,"1300",VALUE(TRIM(J92))&lt;1500,"1400",VALUE(TRIM(J92))&lt;1600,"1500",VALUE(TRIM(J92))&lt;1700,"1600",VALUE(TRIM(J92))&lt;1800,"1700",VALUE(TRIM(J92))&lt;1900,"1800",VALUE(TRIM(J92))&lt;2000,"1900",VALUE(TRIM(J92))&lt;2100,"2000")</f>
        <v>2000</v>
      </c>
      <c r="M92" s="1" t="str">
        <f t="shared" si="4"/>
        <v/>
      </c>
      <c r="N92" s="1" t="str">
        <f t="shared" si="5"/>
        <v>not read</v>
      </c>
      <c r="O92" t="s">
        <v>47</v>
      </c>
    </row>
    <row r="93" spans="1:15">
      <c r="A93" s="2" t="s">
        <v>481</v>
      </c>
      <c r="B93" t="s">
        <v>482</v>
      </c>
      <c r="C93" t="s">
        <v>483</v>
      </c>
      <c r="D93" s="2" t="s">
        <v>18</v>
      </c>
      <c r="E93" s="2" t="str">
        <f t="shared" si="3"/>
        <v>no rating</v>
      </c>
      <c r="F93" s="2" t="s">
        <v>43</v>
      </c>
      <c r="G93" t="s">
        <v>484</v>
      </c>
      <c r="H93" s="2" t="s">
        <v>485</v>
      </c>
      <c r="I93" s="3" t="str" cm="1">
        <f t="array" ref="I93">_xlfn.IFS(VALUE(TRIM(H93))&lt;300,"Short",VALUE(TRIM(H93))&lt;450,"Medium",VALUE(TRIM(H93))&lt;750,"Long",TRUE,"Very Long")</f>
        <v>Medium</v>
      </c>
      <c r="J93" t="s">
        <v>486</v>
      </c>
      <c r="K93" t="str" cm="1">
        <f t="array" ref="K93">_xlfn.IFS(VALUE(TRIM(J93))&lt;0,"BC",VALUE(TRIM(J93))&lt;200,"100",VALUE(TRIM(J93))&lt;800,"700",VALUE(TRIM(J93))&lt;900,"800",VALUE(TRIM(J93))&lt;1000,"900",VALUE(TRIM(J93))&lt;1100,"1000",VALUE(TRIM(J93))&lt;1200,"1100",VALUE(TRIM(J93))&lt;1300,"1200",VALUE(TRIM(J93))&lt;1400,"1300",VALUE(TRIM(J93))&lt;1500,"1400",VALUE(TRIM(J93))&lt;1600,"1500",VALUE(TRIM(J93))&lt;1700,"1600",VALUE(TRIM(J93))&lt;1800,"1700",VALUE(TRIM(J93))&lt;1900,"1800",VALUE(TRIM(J93))&lt;2000,"1900",VALUE(TRIM(J93))&lt;2100,"2000")</f>
        <v>1900</v>
      </c>
      <c r="M93" s="1" t="str">
        <f t="shared" si="4"/>
        <v/>
      </c>
      <c r="N93" s="1" t="str">
        <f t="shared" si="5"/>
        <v>not read</v>
      </c>
      <c r="O93" t="s">
        <v>47</v>
      </c>
    </row>
    <row r="94" spans="1:15">
      <c r="A94" s="2" t="s">
        <v>487</v>
      </c>
      <c r="B94" t="s">
        <v>488</v>
      </c>
      <c r="C94" t="s">
        <v>489</v>
      </c>
      <c r="D94" s="2" t="s">
        <v>18</v>
      </c>
      <c r="E94" s="2" t="str">
        <f t="shared" si="3"/>
        <v>no rating</v>
      </c>
      <c r="F94" s="2" t="s">
        <v>82</v>
      </c>
      <c r="G94" t="s">
        <v>490</v>
      </c>
      <c r="H94" s="2" t="s">
        <v>491</v>
      </c>
      <c r="I94" s="3" t="str" cm="1">
        <f t="array" ref="I94">_xlfn.IFS(VALUE(TRIM(H94))&lt;300,"Short",VALUE(TRIM(H94))&lt;450,"Medium",VALUE(TRIM(H94))&lt;750,"Long",TRUE,"Very Long")</f>
        <v>Medium</v>
      </c>
      <c r="J94" t="s">
        <v>78</v>
      </c>
      <c r="K94" t="str" cm="1">
        <f t="array" ref="K94">_xlfn.IFS(VALUE(TRIM(J94))&lt;0,"BC",VALUE(TRIM(J94))&lt;200,"100",VALUE(TRIM(J94))&lt;800,"700",VALUE(TRIM(J94))&lt;900,"800",VALUE(TRIM(J94))&lt;1000,"900",VALUE(TRIM(J94))&lt;1100,"1000",VALUE(TRIM(J94))&lt;1200,"1100",VALUE(TRIM(J94))&lt;1300,"1200",VALUE(TRIM(J94))&lt;1400,"1300",VALUE(TRIM(J94))&lt;1500,"1400",VALUE(TRIM(J94))&lt;1600,"1500",VALUE(TRIM(J94))&lt;1700,"1600",VALUE(TRIM(J94))&lt;1800,"1700",VALUE(TRIM(J94))&lt;1900,"1800",VALUE(TRIM(J94))&lt;2000,"1900",VALUE(TRIM(J94))&lt;2100,"2000")</f>
        <v>2000</v>
      </c>
      <c r="M94" s="1" t="str">
        <f t="shared" si="4"/>
        <v/>
      </c>
      <c r="N94" s="1" t="str">
        <f t="shared" si="5"/>
        <v>not read</v>
      </c>
      <c r="O94" t="s">
        <v>47</v>
      </c>
    </row>
    <row r="95" spans="1:15">
      <c r="A95" s="2" t="s">
        <v>492</v>
      </c>
      <c r="B95" t="s">
        <v>493</v>
      </c>
      <c r="C95" t="s">
        <v>494</v>
      </c>
      <c r="D95" s="2" t="s">
        <v>18</v>
      </c>
      <c r="E95" s="2" t="str">
        <f t="shared" si="3"/>
        <v>no rating</v>
      </c>
      <c r="F95" s="2" t="s">
        <v>82</v>
      </c>
      <c r="G95" t="s">
        <v>20</v>
      </c>
      <c r="H95" s="2" t="s">
        <v>495</v>
      </c>
      <c r="I95" s="3" t="str" cm="1">
        <f t="array" ref="I95">_xlfn.IFS(VALUE(TRIM(H95))&lt;300,"Short",VALUE(TRIM(H95))&lt;450,"Medium",VALUE(TRIM(H95))&lt;750,"Long",TRUE,"Very Long")</f>
        <v>Short</v>
      </c>
      <c r="J95" t="s">
        <v>496</v>
      </c>
      <c r="K95" t="str" cm="1">
        <f t="array" ref="K95">_xlfn.IFS(VALUE(TRIM(J95))&lt;0,"BC",VALUE(TRIM(J95))&lt;200,"100",VALUE(TRIM(J95))&lt;800,"700",VALUE(TRIM(J95))&lt;900,"800",VALUE(TRIM(J95))&lt;1000,"900",VALUE(TRIM(J95))&lt;1100,"1000",VALUE(TRIM(J95))&lt;1200,"1100",VALUE(TRIM(J95))&lt;1300,"1200",VALUE(TRIM(J95))&lt;1400,"1300",VALUE(TRIM(J95))&lt;1500,"1400",VALUE(TRIM(J95))&lt;1600,"1500",VALUE(TRIM(J95))&lt;1700,"1600",VALUE(TRIM(J95))&lt;1800,"1700",VALUE(TRIM(J95))&lt;1900,"1800",VALUE(TRIM(J95))&lt;2000,"1900",VALUE(TRIM(J95))&lt;2100,"2000")</f>
        <v>100</v>
      </c>
      <c r="M95" s="1" t="str">
        <f t="shared" si="4"/>
        <v/>
      </c>
      <c r="N95" s="1" t="str">
        <f t="shared" si="5"/>
        <v>not read</v>
      </c>
      <c r="O95" t="s">
        <v>47</v>
      </c>
    </row>
    <row r="96" spans="1:15">
      <c r="A96" s="2" t="s">
        <v>497</v>
      </c>
      <c r="B96" t="s">
        <v>498</v>
      </c>
      <c r="C96" t="s">
        <v>499</v>
      </c>
      <c r="D96" s="2" t="s">
        <v>18</v>
      </c>
      <c r="E96" s="2" t="str">
        <f t="shared" si="3"/>
        <v>no rating</v>
      </c>
      <c r="F96" s="2" t="s">
        <v>43</v>
      </c>
      <c r="G96" t="s">
        <v>500</v>
      </c>
      <c r="H96" s="2" t="s">
        <v>204</v>
      </c>
      <c r="I96" s="3" t="str" cm="1">
        <f t="array" ref="I96">_xlfn.IFS(VALUE(TRIM(H96))&lt;300,"Short",VALUE(TRIM(H96))&lt;450,"Medium",VALUE(TRIM(H96))&lt;750,"Long",TRUE,"Very Long")</f>
        <v>Short</v>
      </c>
      <c r="J96" t="s">
        <v>501</v>
      </c>
      <c r="K96" t="str" cm="1">
        <f t="array" ref="K96">_xlfn.IFS(VALUE(TRIM(J96))&lt;0,"BC",VALUE(TRIM(J96))&lt;200,"100",VALUE(TRIM(J96))&lt;800,"700",VALUE(TRIM(J96))&lt;900,"800",VALUE(TRIM(J96))&lt;1000,"900",VALUE(TRIM(J96))&lt;1100,"1000",VALUE(TRIM(J96))&lt;1200,"1100",VALUE(TRIM(J96))&lt;1300,"1200",VALUE(TRIM(J96))&lt;1400,"1300",VALUE(TRIM(J96))&lt;1500,"1400",VALUE(TRIM(J96))&lt;1600,"1500",VALUE(TRIM(J96))&lt;1700,"1600",VALUE(TRIM(J96))&lt;1800,"1700",VALUE(TRIM(J96))&lt;1900,"1800",VALUE(TRIM(J96))&lt;2000,"1900",VALUE(TRIM(J96))&lt;2100,"2000")</f>
        <v>1900</v>
      </c>
      <c r="M96" s="1" t="str">
        <f t="shared" si="4"/>
        <v/>
      </c>
      <c r="N96" s="1" t="str">
        <f t="shared" si="5"/>
        <v>not read</v>
      </c>
      <c r="O96" t="s">
        <v>47</v>
      </c>
    </row>
    <row r="97" spans="1:15">
      <c r="A97" s="2" t="s">
        <v>502</v>
      </c>
      <c r="B97" t="s">
        <v>503</v>
      </c>
      <c r="C97" t="s">
        <v>504</v>
      </c>
      <c r="D97" s="2" t="s">
        <v>18</v>
      </c>
      <c r="E97" s="2" t="str">
        <f t="shared" si="3"/>
        <v>no rating</v>
      </c>
      <c r="F97" s="2" t="s">
        <v>19</v>
      </c>
      <c r="G97" t="s">
        <v>20</v>
      </c>
      <c r="H97" s="2" t="s">
        <v>366</v>
      </c>
      <c r="I97" s="3" t="str" cm="1">
        <f t="array" ref="I97">_xlfn.IFS(VALUE(TRIM(H97))&lt;300,"Short",VALUE(TRIM(H97))&lt;450,"Medium",VALUE(TRIM(H97))&lt;750,"Long",TRUE,"Very Long")</f>
        <v>Short</v>
      </c>
      <c r="J97" t="s">
        <v>505</v>
      </c>
      <c r="K97" t="str" cm="1">
        <f t="array" ref="K97">_xlfn.IFS(VALUE(TRIM(J97))&lt;0,"BC",VALUE(TRIM(J97))&lt;200,"100",VALUE(TRIM(J97))&lt;800,"700",VALUE(TRIM(J97))&lt;900,"800",VALUE(TRIM(J97))&lt;1000,"900",VALUE(TRIM(J97))&lt;1100,"1000",VALUE(TRIM(J97))&lt;1200,"1100",VALUE(TRIM(J97))&lt;1300,"1200",VALUE(TRIM(J97))&lt;1400,"1300",VALUE(TRIM(J97))&lt;1500,"1400",VALUE(TRIM(J97))&lt;1600,"1500",VALUE(TRIM(J97))&lt;1700,"1600",VALUE(TRIM(J97))&lt;1800,"1700",VALUE(TRIM(J97))&lt;1900,"1800",VALUE(TRIM(J97))&lt;2000,"1900",VALUE(TRIM(J97))&lt;2100,"2000")</f>
        <v>1900</v>
      </c>
      <c r="M97" s="1" t="str">
        <f t="shared" si="4"/>
        <v/>
      </c>
      <c r="N97" s="1" t="str">
        <f t="shared" si="5"/>
        <v>not read</v>
      </c>
      <c r="O97" t="s">
        <v>47</v>
      </c>
    </row>
    <row r="98" spans="1:15">
      <c r="A98" s="2" t="s">
        <v>506</v>
      </c>
      <c r="B98" t="s">
        <v>507</v>
      </c>
      <c r="C98" t="s">
        <v>508</v>
      </c>
      <c r="D98" s="2" t="s">
        <v>18</v>
      </c>
      <c r="E98" s="2" t="str">
        <f t="shared" si="3"/>
        <v>no rating</v>
      </c>
      <c r="F98" s="2" t="s">
        <v>89</v>
      </c>
      <c r="G98" t="s">
        <v>509</v>
      </c>
      <c r="H98" s="2" t="s">
        <v>156</v>
      </c>
      <c r="I98" s="3" t="str" cm="1">
        <f t="array" ref="I98">_xlfn.IFS(VALUE(TRIM(H98))&lt;300,"Short",VALUE(TRIM(H98))&lt;450,"Medium",VALUE(TRIM(H98))&lt;750,"Long",TRUE,"Very Long")</f>
        <v>Short</v>
      </c>
      <c r="J98" t="s">
        <v>150</v>
      </c>
      <c r="K98" t="str" cm="1">
        <f t="array" ref="K98">_xlfn.IFS(VALUE(TRIM(J98))&lt;0,"BC",VALUE(TRIM(J98))&lt;200,"100",VALUE(TRIM(J98))&lt;800,"700",VALUE(TRIM(J98))&lt;900,"800",VALUE(TRIM(J98))&lt;1000,"900",VALUE(TRIM(J98))&lt;1100,"1000",VALUE(TRIM(J98))&lt;1200,"1100",VALUE(TRIM(J98))&lt;1300,"1200",VALUE(TRIM(J98))&lt;1400,"1300",VALUE(TRIM(J98))&lt;1500,"1400",VALUE(TRIM(J98))&lt;1600,"1500",VALUE(TRIM(J98))&lt;1700,"1600",VALUE(TRIM(J98))&lt;1800,"1700",VALUE(TRIM(J98))&lt;1900,"1800",VALUE(TRIM(J98))&lt;2000,"1900",VALUE(TRIM(J98))&lt;2100,"2000")</f>
        <v>2000</v>
      </c>
      <c r="M98" s="1" t="str">
        <f t="shared" si="4"/>
        <v/>
      </c>
      <c r="N98" s="1" t="str">
        <f t="shared" si="5"/>
        <v>not read</v>
      </c>
      <c r="O98" t="s">
        <v>47</v>
      </c>
    </row>
    <row r="99" spans="1:15">
      <c r="A99" s="2" t="s">
        <v>510</v>
      </c>
      <c r="B99" t="s">
        <v>511</v>
      </c>
      <c r="C99" t="s">
        <v>512</v>
      </c>
      <c r="D99" s="2" t="s">
        <v>18</v>
      </c>
      <c r="E99" s="2" t="str">
        <f t="shared" si="3"/>
        <v>no rating</v>
      </c>
      <c r="F99" s="2" t="s">
        <v>19</v>
      </c>
      <c r="G99" t="s">
        <v>108</v>
      </c>
      <c r="H99" s="2" t="s">
        <v>129</v>
      </c>
      <c r="I99" s="3" t="str" cm="1">
        <f t="array" ref="I99">_xlfn.IFS(VALUE(TRIM(H99))&lt;300,"Short",VALUE(TRIM(H99))&lt;450,"Medium",VALUE(TRIM(H99))&lt;750,"Long",TRUE,"Very Long")</f>
        <v>Short</v>
      </c>
      <c r="J99" t="s">
        <v>157</v>
      </c>
      <c r="K99" t="str" cm="1">
        <f t="array" ref="K99">_xlfn.IFS(VALUE(TRIM(J99))&lt;0,"BC",VALUE(TRIM(J99))&lt;200,"100",VALUE(TRIM(J99))&lt;800,"700",VALUE(TRIM(J99))&lt;900,"800",VALUE(TRIM(J99))&lt;1000,"900",VALUE(TRIM(J99))&lt;1100,"1000",VALUE(TRIM(J99))&lt;1200,"1100",VALUE(TRIM(J99))&lt;1300,"1200",VALUE(TRIM(J99))&lt;1400,"1300",VALUE(TRIM(J99))&lt;1500,"1400",VALUE(TRIM(J99))&lt;1600,"1500",VALUE(TRIM(J99))&lt;1700,"1600",VALUE(TRIM(J99))&lt;1800,"1700",VALUE(TRIM(J99))&lt;1900,"1800",VALUE(TRIM(J99))&lt;2000,"1900",VALUE(TRIM(J99))&lt;2100,"2000")</f>
        <v>2000</v>
      </c>
      <c r="M99" s="1" t="str">
        <f t="shared" si="4"/>
        <v/>
      </c>
      <c r="N99" s="1" t="str">
        <f t="shared" si="5"/>
        <v>not read</v>
      </c>
      <c r="O99" t="s">
        <v>47</v>
      </c>
    </row>
    <row r="100" spans="1:15">
      <c r="A100" s="2" t="s">
        <v>513</v>
      </c>
      <c r="B100" t="s">
        <v>514</v>
      </c>
      <c r="C100" t="s">
        <v>515</v>
      </c>
      <c r="D100" s="2" t="s">
        <v>18</v>
      </c>
      <c r="E100" s="2" t="str">
        <f t="shared" si="3"/>
        <v>no rating</v>
      </c>
      <c r="F100" s="2" t="s">
        <v>19</v>
      </c>
      <c r="G100" t="s">
        <v>516</v>
      </c>
      <c r="H100" s="2" t="s">
        <v>103</v>
      </c>
      <c r="I100" s="3" t="str" cm="1">
        <f t="array" ref="I100">_xlfn.IFS(VALUE(TRIM(H100))&lt;300,"Short",VALUE(TRIM(H100))&lt;450,"Medium",VALUE(TRIM(H100))&lt;750,"Long",TRUE,"Very Long")</f>
        <v>Medium</v>
      </c>
      <c r="J100" t="s">
        <v>85</v>
      </c>
      <c r="K100" t="str" cm="1">
        <f t="array" ref="K100">_xlfn.IFS(VALUE(TRIM(J100))&lt;0,"BC",VALUE(TRIM(J100))&lt;200,"100",VALUE(TRIM(J100))&lt;800,"700",VALUE(TRIM(J100))&lt;900,"800",VALUE(TRIM(J100))&lt;1000,"900",VALUE(TRIM(J100))&lt;1100,"1000",VALUE(TRIM(J100))&lt;1200,"1100",VALUE(TRIM(J100))&lt;1300,"1200",VALUE(TRIM(J100))&lt;1400,"1300",VALUE(TRIM(J100))&lt;1500,"1400",VALUE(TRIM(J100))&lt;1600,"1500",VALUE(TRIM(J100))&lt;1700,"1600",VALUE(TRIM(J100))&lt;1800,"1700",VALUE(TRIM(J100))&lt;1900,"1800",VALUE(TRIM(J100))&lt;2000,"1900",VALUE(TRIM(J100))&lt;2100,"2000")</f>
        <v>2000</v>
      </c>
      <c r="M100" s="1" t="str">
        <f t="shared" si="4"/>
        <v/>
      </c>
      <c r="N100" s="1" t="str">
        <f t="shared" si="5"/>
        <v>not read</v>
      </c>
      <c r="O100" t="s">
        <v>47</v>
      </c>
    </row>
    <row r="101" spans="1:15">
      <c r="A101" s="2" t="s">
        <v>517</v>
      </c>
      <c r="B101" t="s">
        <v>518</v>
      </c>
      <c r="C101" t="s">
        <v>519</v>
      </c>
      <c r="D101" s="2" t="s">
        <v>18</v>
      </c>
      <c r="E101" s="2" t="str">
        <f t="shared" si="3"/>
        <v>no rating</v>
      </c>
      <c r="F101" s="2" t="s">
        <v>19</v>
      </c>
      <c r="G101" t="s">
        <v>520</v>
      </c>
      <c r="H101" s="2" t="s">
        <v>521</v>
      </c>
      <c r="I101" s="3" t="str" cm="1">
        <f t="array" ref="I101">_xlfn.IFS(VALUE(TRIM(H101))&lt;300,"Short",VALUE(TRIM(H101))&lt;450,"Medium",VALUE(TRIM(H101))&lt;750,"Long",TRUE,"Very Long")</f>
        <v>Medium</v>
      </c>
      <c r="J101" t="s">
        <v>31</v>
      </c>
      <c r="K101" t="str" cm="1">
        <f t="array" ref="K101">_xlfn.IFS(VALUE(TRIM(J101))&lt;0,"BC",VALUE(TRIM(J101))&lt;200,"100",VALUE(TRIM(J101))&lt;800,"700",VALUE(TRIM(J101))&lt;900,"800",VALUE(TRIM(J101))&lt;1000,"900",VALUE(TRIM(J101))&lt;1100,"1000",VALUE(TRIM(J101))&lt;1200,"1100",VALUE(TRIM(J101))&lt;1300,"1200",VALUE(TRIM(J101))&lt;1400,"1300",VALUE(TRIM(J101))&lt;1500,"1400",VALUE(TRIM(J101))&lt;1600,"1500",VALUE(TRIM(J101))&lt;1700,"1600",VALUE(TRIM(J101))&lt;1800,"1700",VALUE(TRIM(J101))&lt;1900,"1800",VALUE(TRIM(J101))&lt;2000,"1900",VALUE(TRIM(J101))&lt;2100,"2000")</f>
        <v>2000</v>
      </c>
      <c r="M101" s="1" t="str">
        <f t="shared" si="4"/>
        <v/>
      </c>
      <c r="N101" s="1" t="str">
        <f t="shared" si="5"/>
        <v>not read</v>
      </c>
      <c r="O101" t="s">
        <v>47</v>
      </c>
    </row>
    <row r="102" spans="1:15">
      <c r="A102" s="2" t="s">
        <v>522</v>
      </c>
      <c r="B102" t="s">
        <v>523</v>
      </c>
      <c r="C102" t="s">
        <v>524</v>
      </c>
      <c r="D102" s="2" t="s">
        <v>18</v>
      </c>
      <c r="E102" s="2" t="str">
        <f t="shared" si="3"/>
        <v>no rating</v>
      </c>
      <c r="F102" s="2" t="s">
        <v>36</v>
      </c>
      <c r="G102" t="s">
        <v>525</v>
      </c>
      <c r="H102" s="2" t="s">
        <v>526</v>
      </c>
      <c r="I102" s="3" t="str" cm="1">
        <f t="array" ref="I102">_xlfn.IFS(VALUE(TRIM(H102))&lt;300,"Short",VALUE(TRIM(H102))&lt;450,"Medium",VALUE(TRIM(H102))&lt;750,"Long",TRUE,"Very Long")</f>
        <v>Short</v>
      </c>
      <c r="J102" t="s">
        <v>208</v>
      </c>
      <c r="K102" t="str" cm="1">
        <f t="array" ref="K102">_xlfn.IFS(VALUE(TRIM(J102))&lt;0,"BC",VALUE(TRIM(J102))&lt;200,"100",VALUE(TRIM(J102))&lt;800,"700",VALUE(TRIM(J102))&lt;900,"800",VALUE(TRIM(J102))&lt;1000,"900",VALUE(TRIM(J102))&lt;1100,"1000",VALUE(TRIM(J102))&lt;1200,"1100",VALUE(TRIM(J102))&lt;1300,"1200",VALUE(TRIM(J102))&lt;1400,"1300",VALUE(TRIM(J102))&lt;1500,"1400",VALUE(TRIM(J102))&lt;1600,"1500",VALUE(TRIM(J102))&lt;1700,"1600",VALUE(TRIM(J102))&lt;1800,"1700",VALUE(TRIM(J102))&lt;1900,"1800",VALUE(TRIM(J102))&lt;2000,"1900",VALUE(TRIM(J102))&lt;2100,"2000")</f>
        <v>2000</v>
      </c>
      <c r="M102" s="1" t="str">
        <f t="shared" si="4"/>
        <v/>
      </c>
      <c r="N102" s="1" t="str">
        <f t="shared" si="5"/>
        <v>not read</v>
      </c>
      <c r="O102" t="s">
        <v>47</v>
      </c>
    </row>
    <row r="103" spans="1:15">
      <c r="A103" s="2" t="s">
        <v>527</v>
      </c>
      <c r="B103" t="s">
        <v>528</v>
      </c>
      <c r="C103" t="s">
        <v>529</v>
      </c>
      <c r="D103" s="2" t="s">
        <v>18</v>
      </c>
      <c r="E103" s="2" t="str">
        <f t="shared" si="3"/>
        <v>no rating</v>
      </c>
      <c r="F103" s="2" t="s">
        <v>82</v>
      </c>
      <c r="G103" t="s">
        <v>388</v>
      </c>
      <c r="H103" s="2" t="s">
        <v>530</v>
      </c>
      <c r="I103" s="3" t="str" cm="1">
        <f t="array" ref="I103">_xlfn.IFS(VALUE(TRIM(H103))&lt;300,"Short",VALUE(TRIM(H103))&lt;450,"Medium",VALUE(TRIM(H103))&lt;750,"Long",TRUE,"Very Long")</f>
        <v>Medium</v>
      </c>
      <c r="J103" t="s">
        <v>259</v>
      </c>
      <c r="K103" t="str" cm="1">
        <f t="array" ref="K103">_xlfn.IFS(VALUE(TRIM(J103))&lt;0,"BC",VALUE(TRIM(J103))&lt;200,"100",VALUE(TRIM(J103))&lt;800,"700",VALUE(TRIM(J103))&lt;900,"800",VALUE(TRIM(J103))&lt;1000,"900",VALUE(TRIM(J103))&lt;1100,"1000",VALUE(TRIM(J103))&lt;1200,"1100",VALUE(TRIM(J103))&lt;1300,"1200",VALUE(TRIM(J103))&lt;1400,"1300",VALUE(TRIM(J103))&lt;1500,"1400",VALUE(TRIM(J103))&lt;1600,"1500",VALUE(TRIM(J103))&lt;1700,"1600",VALUE(TRIM(J103))&lt;1800,"1700",VALUE(TRIM(J103))&lt;1900,"1800",VALUE(TRIM(J103))&lt;2000,"1900",VALUE(TRIM(J103))&lt;2100,"2000")</f>
        <v>2000</v>
      </c>
      <c r="M103" s="1" t="str">
        <f t="shared" si="4"/>
        <v/>
      </c>
      <c r="N103" s="1" t="str">
        <f t="shared" si="5"/>
        <v>not read</v>
      </c>
      <c r="O103" t="s">
        <v>47</v>
      </c>
    </row>
    <row r="104" spans="1:15">
      <c r="A104" s="2" t="s">
        <v>531</v>
      </c>
      <c r="B104" t="s">
        <v>532</v>
      </c>
      <c r="C104" t="s">
        <v>533</v>
      </c>
      <c r="D104" s="2" t="s">
        <v>18</v>
      </c>
      <c r="E104" s="2" t="str">
        <f t="shared" si="3"/>
        <v>no rating</v>
      </c>
      <c r="F104" s="2" t="s">
        <v>28</v>
      </c>
      <c r="G104" t="s">
        <v>378</v>
      </c>
      <c r="H104" s="2" t="s">
        <v>204</v>
      </c>
      <c r="I104" s="3" t="str" cm="1">
        <f t="array" ref="I104">_xlfn.IFS(VALUE(TRIM(H104))&lt;300,"Short",VALUE(TRIM(H104))&lt;450,"Medium",VALUE(TRIM(H104))&lt;750,"Long",TRUE,"Very Long")</f>
        <v>Short</v>
      </c>
      <c r="J104" t="s">
        <v>384</v>
      </c>
      <c r="K104" t="str" cm="1">
        <f t="array" ref="K104">_xlfn.IFS(VALUE(TRIM(J104))&lt;0,"BC",VALUE(TRIM(J104))&lt;200,"100",VALUE(TRIM(J104))&lt;800,"700",VALUE(TRIM(J104))&lt;900,"800",VALUE(TRIM(J104))&lt;1000,"900",VALUE(TRIM(J104))&lt;1100,"1000",VALUE(TRIM(J104))&lt;1200,"1100",VALUE(TRIM(J104))&lt;1300,"1200",VALUE(TRIM(J104))&lt;1400,"1300",VALUE(TRIM(J104))&lt;1500,"1400",VALUE(TRIM(J104))&lt;1600,"1500",VALUE(TRIM(J104))&lt;1700,"1600",VALUE(TRIM(J104))&lt;1800,"1700",VALUE(TRIM(J104))&lt;1900,"1800",VALUE(TRIM(J104))&lt;2000,"1900",VALUE(TRIM(J104))&lt;2100,"2000")</f>
        <v>2000</v>
      </c>
      <c r="M104" s="1" t="str">
        <f t="shared" si="4"/>
        <v/>
      </c>
      <c r="N104" s="1" t="str">
        <f t="shared" si="5"/>
        <v>not read</v>
      </c>
      <c r="O104" t="s">
        <v>47</v>
      </c>
    </row>
    <row r="105" spans="1:15">
      <c r="A105" s="2" t="s">
        <v>534</v>
      </c>
      <c r="B105" t="s">
        <v>535</v>
      </c>
      <c r="C105" t="s">
        <v>536</v>
      </c>
      <c r="D105" s="2" t="s">
        <v>18</v>
      </c>
      <c r="E105" s="2" t="str">
        <f t="shared" si="3"/>
        <v>no rating</v>
      </c>
      <c r="F105" s="2" t="s">
        <v>36</v>
      </c>
      <c r="G105" t="s">
        <v>537</v>
      </c>
      <c r="H105" s="2" t="s">
        <v>103</v>
      </c>
      <c r="I105" s="3" t="str" cm="1">
        <f t="array" ref="I105">_xlfn.IFS(VALUE(TRIM(H105))&lt;300,"Short",VALUE(TRIM(H105))&lt;450,"Medium",VALUE(TRIM(H105))&lt;750,"Long",TRUE,"Very Long")</f>
        <v>Medium</v>
      </c>
      <c r="J105" t="s">
        <v>104</v>
      </c>
      <c r="K105" t="str" cm="1">
        <f t="array" ref="K105">_xlfn.IFS(VALUE(TRIM(J105))&lt;0,"BC",VALUE(TRIM(J105))&lt;200,"100",VALUE(TRIM(J105))&lt;800,"700",VALUE(TRIM(J105))&lt;900,"800",VALUE(TRIM(J105))&lt;1000,"900",VALUE(TRIM(J105))&lt;1100,"1000",VALUE(TRIM(J105))&lt;1200,"1100",VALUE(TRIM(J105))&lt;1300,"1200",VALUE(TRIM(J105))&lt;1400,"1300",VALUE(TRIM(J105))&lt;1500,"1400",VALUE(TRIM(J105))&lt;1600,"1500",VALUE(TRIM(J105))&lt;1700,"1600",VALUE(TRIM(J105))&lt;1800,"1700",VALUE(TRIM(J105))&lt;1900,"1800",VALUE(TRIM(J105))&lt;2000,"1900",VALUE(TRIM(J105))&lt;2100,"2000")</f>
        <v>2000</v>
      </c>
      <c r="M105" s="1" t="str">
        <f t="shared" si="4"/>
        <v/>
      </c>
      <c r="N105" s="1" t="str">
        <f t="shared" si="5"/>
        <v>not read</v>
      </c>
      <c r="O105" t="s">
        <v>47</v>
      </c>
    </row>
    <row r="106" spans="1:15">
      <c r="A106" s="2" t="s">
        <v>538</v>
      </c>
      <c r="B106" t="s">
        <v>539</v>
      </c>
      <c r="C106" t="s">
        <v>257</v>
      </c>
      <c r="D106" s="2" t="s">
        <v>18</v>
      </c>
      <c r="E106" s="2" t="str">
        <f t="shared" si="3"/>
        <v>no rating</v>
      </c>
      <c r="F106" s="2" t="s">
        <v>43</v>
      </c>
      <c r="G106" t="s">
        <v>258</v>
      </c>
      <c r="H106" s="2" t="s">
        <v>540</v>
      </c>
      <c r="I106" s="3" t="str" cm="1">
        <f t="array" ref="I106">_xlfn.IFS(VALUE(TRIM(H106))&lt;300,"Short",VALUE(TRIM(H106))&lt;450,"Medium",VALUE(TRIM(H106))&lt;750,"Long",TRUE,"Very Long")</f>
        <v>Short</v>
      </c>
      <c r="J106" t="s">
        <v>541</v>
      </c>
      <c r="K106" t="str" cm="1">
        <f t="array" ref="K106">_xlfn.IFS(VALUE(TRIM(J106))&lt;0,"BC",VALUE(TRIM(J106))&lt;200,"100",VALUE(TRIM(J106))&lt;800,"700",VALUE(TRIM(J106))&lt;900,"800",VALUE(TRIM(J106))&lt;1000,"900",VALUE(TRIM(J106))&lt;1100,"1000",VALUE(TRIM(J106))&lt;1200,"1100",VALUE(TRIM(J106))&lt;1300,"1200",VALUE(TRIM(J106))&lt;1400,"1300",VALUE(TRIM(J106))&lt;1500,"1400",VALUE(TRIM(J106))&lt;1600,"1500",VALUE(TRIM(J106))&lt;1700,"1600",VALUE(TRIM(J106))&lt;1800,"1700",VALUE(TRIM(J106))&lt;1900,"1800",VALUE(TRIM(J106))&lt;2000,"1900",VALUE(TRIM(J106))&lt;2100,"2000")</f>
        <v>1900</v>
      </c>
      <c r="M106" s="1" t="str">
        <f t="shared" si="4"/>
        <v/>
      </c>
      <c r="N106" s="1" t="str">
        <f t="shared" si="5"/>
        <v>not read</v>
      </c>
      <c r="O106" t="s">
        <v>47</v>
      </c>
    </row>
    <row r="107" spans="1:15">
      <c r="A107" s="2" t="s">
        <v>542</v>
      </c>
      <c r="B107" t="s">
        <v>543</v>
      </c>
      <c r="C107" t="s">
        <v>544</v>
      </c>
      <c r="D107" s="2" t="s">
        <v>18</v>
      </c>
      <c r="E107" s="2" t="str">
        <f t="shared" si="3"/>
        <v>no rating</v>
      </c>
      <c r="F107" s="2" t="s">
        <v>69</v>
      </c>
      <c r="G107" t="s">
        <v>44</v>
      </c>
      <c r="H107" s="2" t="s">
        <v>545</v>
      </c>
      <c r="I107" s="3" t="str" cm="1">
        <f t="array" ref="I107">_xlfn.IFS(VALUE(TRIM(H107))&lt;300,"Short",VALUE(TRIM(H107))&lt;450,"Medium",VALUE(TRIM(H107))&lt;750,"Long",TRUE,"Very Long")</f>
        <v>Medium</v>
      </c>
      <c r="J107" t="s">
        <v>259</v>
      </c>
      <c r="K107" t="str" cm="1">
        <f t="array" ref="K107">_xlfn.IFS(VALUE(TRIM(J107))&lt;0,"BC",VALUE(TRIM(J107))&lt;200,"100",VALUE(TRIM(J107))&lt;800,"700",VALUE(TRIM(J107))&lt;900,"800",VALUE(TRIM(J107))&lt;1000,"900",VALUE(TRIM(J107))&lt;1100,"1000",VALUE(TRIM(J107))&lt;1200,"1100",VALUE(TRIM(J107))&lt;1300,"1200",VALUE(TRIM(J107))&lt;1400,"1300",VALUE(TRIM(J107))&lt;1500,"1400",VALUE(TRIM(J107))&lt;1600,"1500",VALUE(TRIM(J107))&lt;1700,"1600",VALUE(TRIM(J107))&lt;1800,"1700",VALUE(TRIM(J107))&lt;1900,"1800",VALUE(TRIM(J107))&lt;2000,"1900",VALUE(TRIM(J107))&lt;2100,"2000")</f>
        <v>2000</v>
      </c>
      <c r="M107" s="1" t="str">
        <f t="shared" si="4"/>
        <v/>
      </c>
      <c r="N107" s="1" t="str">
        <f t="shared" si="5"/>
        <v>not read</v>
      </c>
      <c r="O107" t="s">
        <v>47</v>
      </c>
    </row>
    <row r="108" spans="1:15">
      <c r="A108" s="2" t="s">
        <v>546</v>
      </c>
      <c r="B108" t="s">
        <v>547</v>
      </c>
      <c r="C108" t="s">
        <v>548</v>
      </c>
      <c r="D108" s="2" t="s">
        <v>18</v>
      </c>
      <c r="E108" s="2" t="str">
        <f t="shared" si="3"/>
        <v>no rating</v>
      </c>
      <c r="F108" s="2" t="s">
        <v>19</v>
      </c>
      <c r="G108" t="s">
        <v>44</v>
      </c>
      <c r="H108" s="2" t="s">
        <v>420</v>
      </c>
      <c r="I108" s="3" t="str" cm="1">
        <f t="array" ref="I108">_xlfn.IFS(VALUE(TRIM(H108))&lt;300,"Short",VALUE(TRIM(H108))&lt;450,"Medium",VALUE(TRIM(H108))&lt;750,"Long",TRUE,"Very Long")</f>
        <v>Medium</v>
      </c>
      <c r="J108" t="s">
        <v>54</v>
      </c>
      <c r="K108" t="str" cm="1">
        <f t="array" ref="K108">_xlfn.IFS(VALUE(TRIM(J108))&lt;0,"BC",VALUE(TRIM(J108))&lt;200,"100",VALUE(TRIM(J108))&lt;800,"700",VALUE(TRIM(J108))&lt;900,"800",VALUE(TRIM(J108))&lt;1000,"900",VALUE(TRIM(J108))&lt;1100,"1000",VALUE(TRIM(J108))&lt;1200,"1100",VALUE(TRIM(J108))&lt;1300,"1200",VALUE(TRIM(J108))&lt;1400,"1300",VALUE(TRIM(J108))&lt;1500,"1400",VALUE(TRIM(J108))&lt;1600,"1500",VALUE(TRIM(J108))&lt;1700,"1600",VALUE(TRIM(J108))&lt;1800,"1700",VALUE(TRIM(J108))&lt;1900,"1800",VALUE(TRIM(J108))&lt;2000,"1900",VALUE(TRIM(J108))&lt;2100,"2000")</f>
        <v>2000</v>
      </c>
      <c r="M108" s="1" t="str">
        <f t="shared" si="4"/>
        <v/>
      </c>
      <c r="N108" s="1" t="str">
        <f t="shared" si="5"/>
        <v>not read</v>
      </c>
      <c r="O108" t="s">
        <v>47</v>
      </c>
    </row>
    <row r="109" spans="1:15">
      <c r="A109" s="2" t="s">
        <v>549</v>
      </c>
      <c r="B109" t="s">
        <v>550</v>
      </c>
      <c r="C109" t="s">
        <v>551</v>
      </c>
      <c r="D109" s="2" t="s">
        <v>18</v>
      </c>
      <c r="E109" s="2" t="str">
        <f t="shared" si="3"/>
        <v>no rating</v>
      </c>
      <c r="F109" s="2" t="s">
        <v>43</v>
      </c>
      <c r="G109" t="s">
        <v>258</v>
      </c>
      <c r="H109" s="2" t="s">
        <v>156</v>
      </c>
      <c r="I109" s="3" t="str" cm="1">
        <f t="array" ref="I109">_xlfn.IFS(VALUE(TRIM(H109))&lt;300,"Short",VALUE(TRIM(H109))&lt;450,"Medium",VALUE(TRIM(H109))&lt;750,"Long",TRUE,"Very Long")</f>
        <v>Short</v>
      </c>
      <c r="J109" t="s">
        <v>552</v>
      </c>
      <c r="K109" t="str" cm="1">
        <f t="array" ref="K109">_xlfn.IFS(VALUE(TRIM(J109))&lt;0,"BC",VALUE(TRIM(J109))&lt;200,"100",VALUE(TRIM(J109))&lt;800,"700",VALUE(TRIM(J109))&lt;900,"800",VALUE(TRIM(J109))&lt;1000,"900",VALUE(TRIM(J109))&lt;1100,"1000",VALUE(TRIM(J109))&lt;1200,"1100",VALUE(TRIM(J109))&lt;1300,"1200",VALUE(TRIM(J109))&lt;1400,"1300",VALUE(TRIM(J109))&lt;1500,"1400",VALUE(TRIM(J109))&lt;1600,"1500",VALUE(TRIM(J109))&lt;1700,"1600",VALUE(TRIM(J109))&lt;1800,"1700",VALUE(TRIM(J109))&lt;1900,"1800",VALUE(TRIM(J109))&lt;2000,"1900",VALUE(TRIM(J109))&lt;2100,"2000")</f>
        <v>1900</v>
      </c>
      <c r="M109" s="1" t="str">
        <f t="shared" si="4"/>
        <v/>
      </c>
      <c r="N109" s="1" t="str">
        <f t="shared" si="5"/>
        <v>not read</v>
      </c>
      <c r="O109" t="s">
        <v>47</v>
      </c>
    </row>
    <row r="110" spans="1:15">
      <c r="A110" s="2" t="s">
        <v>553</v>
      </c>
      <c r="B110" t="s">
        <v>554</v>
      </c>
      <c r="C110" t="s">
        <v>555</v>
      </c>
      <c r="D110" s="2" t="s">
        <v>18</v>
      </c>
      <c r="E110" s="2" t="str">
        <f t="shared" si="3"/>
        <v>no rating</v>
      </c>
      <c r="F110" s="2" t="s">
        <v>82</v>
      </c>
      <c r="G110" t="s">
        <v>556</v>
      </c>
      <c r="H110" s="2" t="s">
        <v>557</v>
      </c>
      <c r="I110" s="3" t="str" cm="1">
        <f t="array" ref="I110">_xlfn.IFS(VALUE(TRIM(H110))&lt;300,"Short",VALUE(TRIM(H110))&lt;450,"Medium",VALUE(TRIM(H110))&lt;750,"Long",TRUE,"Very Long")</f>
        <v>Long</v>
      </c>
      <c r="J110" t="s">
        <v>46</v>
      </c>
      <c r="K110" t="str" cm="1">
        <f t="array" ref="K110">_xlfn.IFS(VALUE(TRIM(J110))&lt;0,"BC",VALUE(TRIM(J110))&lt;200,"100",VALUE(TRIM(J110))&lt;800,"700",VALUE(TRIM(J110))&lt;900,"800",VALUE(TRIM(J110))&lt;1000,"900",VALUE(TRIM(J110))&lt;1100,"1000",VALUE(TRIM(J110))&lt;1200,"1100",VALUE(TRIM(J110))&lt;1300,"1200",VALUE(TRIM(J110))&lt;1400,"1300",VALUE(TRIM(J110))&lt;1500,"1400",VALUE(TRIM(J110))&lt;1600,"1500",VALUE(TRIM(J110))&lt;1700,"1600",VALUE(TRIM(J110))&lt;1800,"1700",VALUE(TRIM(J110))&lt;1900,"1800",VALUE(TRIM(J110))&lt;2000,"1900",VALUE(TRIM(J110))&lt;2100,"2000")</f>
        <v>2000</v>
      </c>
      <c r="M110" s="1" t="str">
        <f t="shared" si="4"/>
        <v/>
      </c>
      <c r="N110" s="1" t="str">
        <f t="shared" si="5"/>
        <v>not read</v>
      </c>
      <c r="O110" t="s">
        <v>47</v>
      </c>
    </row>
    <row r="111" spans="1:15">
      <c r="A111" s="2" t="s">
        <v>558</v>
      </c>
      <c r="B111" t="s">
        <v>559</v>
      </c>
      <c r="C111" t="s">
        <v>560</v>
      </c>
      <c r="D111" s="2" t="s">
        <v>18</v>
      </c>
      <c r="E111" s="2" t="str">
        <f t="shared" si="3"/>
        <v>no rating</v>
      </c>
      <c r="F111" s="2" t="s">
        <v>36</v>
      </c>
      <c r="G111" t="s">
        <v>218</v>
      </c>
      <c r="H111" s="2" t="s">
        <v>97</v>
      </c>
      <c r="I111" s="3" t="str" cm="1">
        <f t="array" ref="I111">_xlfn.IFS(VALUE(TRIM(H111))&lt;300,"Short",VALUE(TRIM(H111))&lt;450,"Medium",VALUE(TRIM(H111))&lt;750,"Long",TRUE,"Very Long")</f>
        <v>Short</v>
      </c>
      <c r="J111" t="s">
        <v>505</v>
      </c>
      <c r="K111" t="str" cm="1">
        <f t="array" ref="K111">_xlfn.IFS(VALUE(TRIM(J111))&lt;0,"BC",VALUE(TRIM(J111))&lt;200,"100",VALUE(TRIM(J111))&lt;800,"700",VALUE(TRIM(J111))&lt;900,"800",VALUE(TRIM(J111))&lt;1000,"900",VALUE(TRIM(J111))&lt;1100,"1000",VALUE(TRIM(J111))&lt;1200,"1100",VALUE(TRIM(J111))&lt;1300,"1200",VALUE(TRIM(J111))&lt;1400,"1300",VALUE(TRIM(J111))&lt;1500,"1400",VALUE(TRIM(J111))&lt;1600,"1500",VALUE(TRIM(J111))&lt;1700,"1600",VALUE(TRIM(J111))&lt;1800,"1700",VALUE(TRIM(J111))&lt;1900,"1800",VALUE(TRIM(J111))&lt;2000,"1900",VALUE(TRIM(J111))&lt;2100,"2000")</f>
        <v>1900</v>
      </c>
      <c r="M111" s="1" t="str">
        <f t="shared" si="4"/>
        <v/>
      </c>
      <c r="N111" s="1" t="str">
        <f t="shared" si="5"/>
        <v>not read</v>
      </c>
      <c r="O111" t="s">
        <v>47</v>
      </c>
    </row>
    <row r="112" spans="1:15">
      <c r="A112" s="2" t="s">
        <v>561</v>
      </c>
      <c r="B112" t="s">
        <v>562</v>
      </c>
      <c r="C112" t="s">
        <v>563</v>
      </c>
      <c r="D112" s="2" t="s">
        <v>18</v>
      </c>
      <c r="E112" s="2" t="str">
        <f t="shared" si="3"/>
        <v>no rating</v>
      </c>
      <c r="F112" s="2" t="s">
        <v>82</v>
      </c>
      <c r="G112" t="s">
        <v>564</v>
      </c>
      <c r="H112" s="2" t="s">
        <v>565</v>
      </c>
      <c r="I112" s="3" t="str" cm="1">
        <f t="array" ref="I112">_xlfn.IFS(VALUE(TRIM(H112))&lt;300,"Short",VALUE(TRIM(H112))&lt;450,"Medium",VALUE(TRIM(H112))&lt;750,"Long",TRUE,"Very Long")</f>
        <v>Short</v>
      </c>
      <c r="J112" t="s">
        <v>505</v>
      </c>
      <c r="K112" t="str" cm="1">
        <f t="array" ref="K112">_xlfn.IFS(VALUE(TRIM(J112))&lt;0,"BC",VALUE(TRIM(J112))&lt;200,"100",VALUE(TRIM(J112))&lt;800,"700",VALUE(TRIM(J112))&lt;900,"800",VALUE(TRIM(J112))&lt;1000,"900",VALUE(TRIM(J112))&lt;1100,"1000",VALUE(TRIM(J112))&lt;1200,"1100",VALUE(TRIM(J112))&lt;1300,"1200",VALUE(TRIM(J112))&lt;1400,"1300",VALUE(TRIM(J112))&lt;1500,"1400",VALUE(TRIM(J112))&lt;1600,"1500",VALUE(TRIM(J112))&lt;1700,"1600",VALUE(TRIM(J112))&lt;1800,"1700",VALUE(TRIM(J112))&lt;1900,"1800",VALUE(TRIM(J112))&lt;2000,"1900",VALUE(TRIM(J112))&lt;2100,"2000")</f>
        <v>1900</v>
      </c>
      <c r="M112" s="1" t="str">
        <f t="shared" si="4"/>
        <v/>
      </c>
      <c r="N112" s="1" t="str">
        <f t="shared" si="5"/>
        <v>not read</v>
      </c>
      <c r="O112" t="s">
        <v>47</v>
      </c>
    </row>
    <row r="113" spans="1:15">
      <c r="A113" s="2" t="s">
        <v>566</v>
      </c>
      <c r="B113" t="s">
        <v>567</v>
      </c>
      <c r="C113" t="s">
        <v>568</v>
      </c>
      <c r="D113" s="2" t="s">
        <v>18</v>
      </c>
      <c r="E113" s="2" t="str">
        <f t="shared" si="3"/>
        <v>no rating</v>
      </c>
      <c r="F113" s="2" t="s">
        <v>19</v>
      </c>
      <c r="G113" t="s">
        <v>120</v>
      </c>
      <c r="H113" s="2" t="s">
        <v>569</v>
      </c>
      <c r="I113" s="3" t="str" cm="1">
        <f t="array" ref="I113">_xlfn.IFS(VALUE(TRIM(H113))&lt;300,"Short",VALUE(TRIM(H113))&lt;450,"Medium",VALUE(TRIM(H113))&lt;750,"Long",TRUE,"Very Long")</f>
        <v>Medium</v>
      </c>
      <c r="J113" t="s">
        <v>163</v>
      </c>
      <c r="K113" t="str" cm="1">
        <f t="array" ref="K113">_xlfn.IFS(VALUE(TRIM(J113))&lt;0,"BC",VALUE(TRIM(J113))&lt;200,"100",VALUE(TRIM(J113))&lt;800,"700",VALUE(TRIM(J113))&lt;900,"800",VALUE(TRIM(J113))&lt;1000,"900",VALUE(TRIM(J113))&lt;1100,"1000",VALUE(TRIM(J113))&lt;1200,"1100",VALUE(TRIM(J113))&lt;1300,"1200",VALUE(TRIM(J113))&lt;1400,"1300",VALUE(TRIM(J113))&lt;1500,"1400",VALUE(TRIM(J113))&lt;1600,"1500",VALUE(TRIM(J113))&lt;1700,"1600",VALUE(TRIM(J113))&lt;1800,"1700",VALUE(TRIM(J113))&lt;1900,"1800",VALUE(TRIM(J113))&lt;2000,"1900",VALUE(TRIM(J113))&lt;2100,"2000")</f>
        <v>2000</v>
      </c>
      <c r="M113" s="1" t="str">
        <f t="shared" si="4"/>
        <v/>
      </c>
      <c r="N113" s="1" t="str">
        <f t="shared" si="5"/>
        <v>not read</v>
      </c>
      <c r="O113" t="s">
        <v>47</v>
      </c>
    </row>
    <row r="114" spans="1:15">
      <c r="A114" s="2" t="s">
        <v>570</v>
      </c>
      <c r="B114" t="s">
        <v>571</v>
      </c>
      <c r="C114" t="s">
        <v>572</v>
      </c>
      <c r="D114" s="2" t="s">
        <v>18</v>
      </c>
      <c r="E114" s="2" t="str">
        <f t="shared" si="3"/>
        <v>no rating</v>
      </c>
      <c r="F114" s="2" t="s">
        <v>178</v>
      </c>
      <c r="G114" t="s">
        <v>573</v>
      </c>
      <c r="H114" s="2" t="s">
        <v>574</v>
      </c>
      <c r="I114" s="3" t="str" cm="1">
        <f t="array" ref="I114">_xlfn.IFS(VALUE(TRIM(H114))&lt;300,"Short",VALUE(TRIM(H114))&lt;450,"Medium",VALUE(TRIM(H114))&lt;750,"Long",TRUE,"Very Long")</f>
        <v>Short</v>
      </c>
      <c r="J114" t="s">
        <v>31</v>
      </c>
      <c r="K114" t="str" cm="1">
        <f t="array" ref="K114">_xlfn.IFS(VALUE(TRIM(J114))&lt;0,"BC",VALUE(TRIM(J114))&lt;200,"100",VALUE(TRIM(J114))&lt;800,"700",VALUE(TRIM(J114))&lt;900,"800",VALUE(TRIM(J114))&lt;1000,"900",VALUE(TRIM(J114))&lt;1100,"1000",VALUE(TRIM(J114))&lt;1200,"1100",VALUE(TRIM(J114))&lt;1300,"1200",VALUE(TRIM(J114))&lt;1400,"1300",VALUE(TRIM(J114))&lt;1500,"1400",VALUE(TRIM(J114))&lt;1600,"1500",VALUE(TRIM(J114))&lt;1700,"1600",VALUE(TRIM(J114))&lt;1800,"1700",VALUE(TRIM(J114))&lt;1900,"1800",VALUE(TRIM(J114))&lt;2000,"1900",VALUE(TRIM(J114))&lt;2100,"2000")</f>
        <v>2000</v>
      </c>
      <c r="M114" s="1" t="str">
        <f t="shared" si="4"/>
        <v/>
      </c>
      <c r="N114" s="1" t="str">
        <f t="shared" si="5"/>
        <v>not read</v>
      </c>
      <c r="O114" t="s">
        <v>47</v>
      </c>
    </row>
    <row r="115" spans="1:15">
      <c r="A115" s="2" t="s">
        <v>575</v>
      </c>
      <c r="B115" t="s">
        <v>576</v>
      </c>
      <c r="C115" t="s">
        <v>577</v>
      </c>
      <c r="D115" s="2" t="s">
        <v>18</v>
      </c>
      <c r="E115" s="2" t="str">
        <f t="shared" si="3"/>
        <v>no rating</v>
      </c>
      <c r="F115" s="2" t="s">
        <v>82</v>
      </c>
      <c r="G115" t="s">
        <v>578</v>
      </c>
      <c r="H115" s="2" t="s">
        <v>579</v>
      </c>
      <c r="I115" s="3" t="str" cm="1">
        <f t="array" ref="I115">_xlfn.IFS(VALUE(TRIM(H115))&lt;300,"Short",VALUE(TRIM(H115))&lt;450,"Medium",VALUE(TRIM(H115))&lt;750,"Long",TRUE,"Very Long")</f>
        <v>Short</v>
      </c>
      <c r="J115" t="s">
        <v>505</v>
      </c>
      <c r="K115" t="str" cm="1">
        <f t="array" ref="K115">_xlfn.IFS(VALUE(TRIM(J115))&lt;0,"BC",VALUE(TRIM(J115))&lt;200,"100",VALUE(TRIM(J115))&lt;800,"700",VALUE(TRIM(J115))&lt;900,"800",VALUE(TRIM(J115))&lt;1000,"900",VALUE(TRIM(J115))&lt;1100,"1000",VALUE(TRIM(J115))&lt;1200,"1100",VALUE(TRIM(J115))&lt;1300,"1200",VALUE(TRIM(J115))&lt;1400,"1300",VALUE(TRIM(J115))&lt;1500,"1400",VALUE(TRIM(J115))&lt;1600,"1500",VALUE(TRIM(J115))&lt;1700,"1600",VALUE(TRIM(J115))&lt;1800,"1700",VALUE(TRIM(J115))&lt;1900,"1800",VALUE(TRIM(J115))&lt;2000,"1900",VALUE(TRIM(J115))&lt;2100,"2000")</f>
        <v>1900</v>
      </c>
      <c r="M115" s="1" t="str">
        <f t="shared" si="4"/>
        <v/>
      </c>
      <c r="N115" s="1" t="str">
        <f t="shared" si="5"/>
        <v>not read</v>
      </c>
      <c r="O115" t="s">
        <v>47</v>
      </c>
    </row>
    <row r="116" spans="1:15">
      <c r="A116" s="2" t="s">
        <v>580</v>
      </c>
      <c r="B116" t="s">
        <v>581</v>
      </c>
      <c r="C116" t="s">
        <v>582</v>
      </c>
      <c r="D116" s="2" t="s">
        <v>18</v>
      </c>
      <c r="E116" s="2" t="str">
        <f t="shared" si="3"/>
        <v>no rating</v>
      </c>
      <c r="F116" s="2" t="s">
        <v>82</v>
      </c>
      <c r="G116" t="s">
        <v>583</v>
      </c>
      <c r="H116" s="2" t="s">
        <v>248</v>
      </c>
      <c r="I116" s="3" t="str" cm="1">
        <f t="array" ref="I116">_xlfn.IFS(VALUE(TRIM(H116))&lt;300,"Short",VALUE(TRIM(H116))&lt;450,"Medium",VALUE(TRIM(H116))&lt;750,"Long",TRUE,"Very Long")</f>
        <v>Short</v>
      </c>
      <c r="J116" t="s">
        <v>54</v>
      </c>
      <c r="K116" t="str" cm="1">
        <f t="array" ref="K116">_xlfn.IFS(VALUE(TRIM(J116))&lt;0,"BC",VALUE(TRIM(J116))&lt;200,"100",VALUE(TRIM(J116))&lt;800,"700",VALUE(TRIM(J116))&lt;900,"800",VALUE(TRIM(J116))&lt;1000,"900",VALUE(TRIM(J116))&lt;1100,"1000",VALUE(TRIM(J116))&lt;1200,"1100",VALUE(TRIM(J116))&lt;1300,"1200",VALUE(TRIM(J116))&lt;1400,"1300",VALUE(TRIM(J116))&lt;1500,"1400",VALUE(TRIM(J116))&lt;1600,"1500",VALUE(TRIM(J116))&lt;1700,"1600",VALUE(TRIM(J116))&lt;1800,"1700",VALUE(TRIM(J116))&lt;1900,"1800",VALUE(TRIM(J116))&lt;2000,"1900",VALUE(TRIM(J116))&lt;2100,"2000")</f>
        <v>2000</v>
      </c>
      <c r="M116" s="1" t="str">
        <f t="shared" si="4"/>
        <v/>
      </c>
      <c r="N116" s="1" t="str">
        <f t="shared" si="5"/>
        <v>not read</v>
      </c>
      <c r="O116" t="s">
        <v>47</v>
      </c>
    </row>
    <row r="117" spans="1:15">
      <c r="A117" s="2" t="s">
        <v>584</v>
      </c>
      <c r="B117" t="s">
        <v>585</v>
      </c>
      <c r="C117" t="s">
        <v>586</v>
      </c>
      <c r="D117" s="2" t="s">
        <v>18</v>
      </c>
      <c r="E117" s="2" t="str">
        <f t="shared" si="3"/>
        <v>no rating</v>
      </c>
      <c r="F117" s="2" t="s">
        <v>36</v>
      </c>
      <c r="G117" t="s">
        <v>583</v>
      </c>
      <c r="H117" s="2" t="s">
        <v>204</v>
      </c>
      <c r="I117" s="3" t="str" cm="1">
        <f t="array" ref="I117">_xlfn.IFS(VALUE(TRIM(H117))&lt;300,"Short",VALUE(TRIM(H117))&lt;450,"Medium",VALUE(TRIM(H117))&lt;750,"Long",TRUE,"Very Long")</f>
        <v>Short</v>
      </c>
      <c r="J117" t="s">
        <v>208</v>
      </c>
      <c r="K117" t="str" cm="1">
        <f t="array" ref="K117">_xlfn.IFS(VALUE(TRIM(J117))&lt;0,"BC",VALUE(TRIM(J117))&lt;200,"100",VALUE(TRIM(J117))&lt;800,"700",VALUE(TRIM(J117))&lt;900,"800",VALUE(TRIM(J117))&lt;1000,"900",VALUE(TRIM(J117))&lt;1100,"1000",VALUE(TRIM(J117))&lt;1200,"1100",VALUE(TRIM(J117))&lt;1300,"1200",VALUE(TRIM(J117))&lt;1400,"1300",VALUE(TRIM(J117))&lt;1500,"1400",VALUE(TRIM(J117))&lt;1600,"1500",VALUE(TRIM(J117))&lt;1700,"1600",VALUE(TRIM(J117))&lt;1800,"1700",VALUE(TRIM(J117))&lt;1900,"1800",VALUE(TRIM(J117))&lt;2000,"1900",VALUE(TRIM(J117))&lt;2100,"2000")</f>
        <v>2000</v>
      </c>
      <c r="M117" s="1" t="str">
        <f t="shared" si="4"/>
        <v/>
      </c>
      <c r="N117" s="1" t="str">
        <f t="shared" si="5"/>
        <v>not read</v>
      </c>
      <c r="O117" t="s">
        <v>47</v>
      </c>
    </row>
    <row r="118" spans="1:15">
      <c r="A118" s="2" t="s">
        <v>587</v>
      </c>
      <c r="B118" t="s">
        <v>588</v>
      </c>
      <c r="C118" t="s">
        <v>589</v>
      </c>
      <c r="D118" s="2" t="s">
        <v>18</v>
      </c>
      <c r="E118" s="2" t="str">
        <f t="shared" si="3"/>
        <v>no rating</v>
      </c>
      <c r="F118" s="2" t="s">
        <v>43</v>
      </c>
      <c r="G118" t="s">
        <v>590</v>
      </c>
      <c r="H118" s="2" t="s">
        <v>77</v>
      </c>
      <c r="I118" s="3" t="str" cm="1">
        <f t="array" ref="I118">_xlfn.IFS(VALUE(TRIM(H118))&lt;300,"Short",VALUE(TRIM(H118))&lt;450,"Medium",VALUE(TRIM(H118))&lt;750,"Long",TRUE,"Very Long")</f>
        <v>Medium</v>
      </c>
      <c r="J118" t="s">
        <v>31</v>
      </c>
      <c r="K118" t="str" cm="1">
        <f t="array" ref="K118">_xlfn.IFS(VALUE(TRIM(J118))&lt;0,"BC",VALUE(TRIM(J118))&lt;200,"100",VALUE(TRIM(J118))&lt;800,"700",VALUE(TRIM(J118))&lt;900,"800",VALUE(TRIM(J118))&lt;1000,"900",VALUE(TRIM(J118))&lt;1100,"1000",VALUE(TRIM(J118))&lt;1200,"1100",VALUE(TRIM(J118))&lt;1300,"1200",VALUE(TRIM(J118))&lt;1400,"1300",VALUE(TRIM(J118))&lt;1500,"1400",VALUE(TRIM(J118))&lt;1600,"1500",VALUE(TRIM(J118))&lt;1700,"1600",VALUE(TRIM(J118))&lt;1800,"1700",VALUE(TRIM(J118))&lt;1900,"1800",VALUE(TRIM(J118))&lt;2000,"1900",VALUE(TRIM(J118))&lt;2100,"2000")</f>
        <v>2000</v>
      </c>
      <c r="M118" s="1" t="str">
        <f t="shared" si="4"/>
        <v/>
      </c>
      <c r="N118" s="1" t="str">
        <f t="shared" si="5"/>
        <v>not read</v>
      </c>
      <c r="O118" t="s">
        <v>47</v>
      </c>
    </row>
    <row r="119" spans="1:15">
      <c r="A119" s="2" t="s">
        <v>591</v>
      </c>
      <c r="B119" t="s">
        <v>592</v>
      </c>
      <c r="C119" t="s">
        <v>572</v>
      </c>
      <c r="D119" s="2" t="s">
        <v>18</v>
      </c>
      <c r="E119" s="2" t="str">
        <f t="shared" si="3"/>
        <v>no rating</v>
      </c>
      <c r="F119" s="2" t="s">
        <v>19</v>
      </c>
      <c r="G119" t="s">
        <v>258</v>
      </c>
      <c r="H119" s="2" t="s">
        <v>30</v>
      </c>
      <c r="I119" s="3" t="str" cm="1">
        <f t="array" ref="I119">_xlfn.IFS(VALUE(TRIM(H119))&lt;300,"Short",VALUE(TRIM(H119))&lt;450,"Medium",VALUE(TRIM(H119))&lt;750,"Long",TRUE,"Very Long")</f>
        <v>Medium</v>
      </c>
      <c r="J119" t="s">
        <v>214</v>
      </c>
      <c r="K119" t="str" cm="1">
        <f t="array" ref="K119">_xlfn.IFS(VALUE(TRIM(J119))&lt;0,"BC",VALUE(TRIM(J119))&lt;200,"100",VALUE(TRIM(J119))&lt;800,"700",VALUE(TRIM(J119))&lt;900,"800",VALUE(TRIM(J119))&lt;1000,"900",VALUE(TRIM(J119))&lt;1100,"1000",VALUE(TRIM(J119))&lt;1200,"1100",VALUE(TRIM(J119))&lt;1300,"1200",VALUE(TRIM(J119))&lt;1400,"1300",VALUE(TRIM(J119))&lt;1500,"1400",VALUE(TRIM(J119))&lt;1600,"1500",VALUE(TRIM(J119))&lt;1700,"1600",VALUE(TRIM(J119))&lt;1800,"1700",VALUE(TRIM(J119))&lt;1900,"1800",VALUE(TRIM(J119))&lt;2000,"1900",VALUE(TRIM(J119))&lt;2100,"2000")</f>
        <v>1900</v>
      </c>
      <c r="M119" s="1" t="str">
        <f t="shared" si="4"/>
        <v/>
      </c>
      <c r="N119" s="1" t="str">
        <f t="shared" si="5"/>
        <v>not read</v>
      </c>
      <c r="O119" t="s">
        <v>47</v>
      </c>
    </row>
    <row r="120" spans="1:15">
      <c r="A120" s="2" t="s">
        <v>593</v>
      </c>
      <c r="B120" t="s">
        <v>594</v>
      </c>
      <c r="C120" t="s">
        <v>595</v>
      </c>
      <c r="D120" s="2" t="s">
        <v>18</v>
      </c>
      <c r="E120" s="2" t="str">
        <f t="shared" si="3"/>
        <v>no rating</v>
      </c>
      <c r="F120" s="2" t="s">
        <v>19</v>
      </c>
      <c r="G120" t="s">
        <v>596</v>
      </c>
      <c r="H120" s="2" t="s">
        <v>77</v>
      </c>
      <c r="I120" s="3" t="str" cm="1">
        <f t="array" ref="I120">_xlfn.IFS(VALUE(TRIM(H120))&lt;300,"Short",VALUE(TRIM(H120))&lt;450,"Medium",VALUE(TRIM(H120))&lt;750,"Long",TRUE,"Very Long")</f>
        <v>Medium</v>
      </c>
      <c r="J120" t="s">
        <v>139</v>
      </c>
      <c r="K120" t="str" cm="1">
        <f t="array" ref="K120">_xlfn.IFS(VALUE(TRIM(J120))&lt;0,"BC",VALUE(TRIM(J120))&lt;200,"100",VALUE(TRIM(J120))&lt;800,"700",VALUE(TRIM(J120))&lt;900,"800",VALUE(TRIM(J120))&lt;1000,"900",VALUE(TRIM(J120))&lt;1100,"1000",VALUE(TRIM(J120))&lt;1200,"1100",VALUE(TRIM(J120))&lt;1300,"1200",VALUE(TRIM(J120))&lt;1400,"1300",VALUE(TRIM(J120))&lt;1500,"1400",VALUE(TRIM(J120))&lt;1600,"1500",VALUE(TRIM(J120))&lt;1700,"1600",VALUE(TRIM(J120))&lt;1800,"1700",VALUE(TRIM(J120))&lt;1900,"1800",VALUE(TRIM(J120))&lt;2000,"1900",VALUE(TRIM(J120))&lt;2100,"2000")</f>
        <v>2000</v>
      </c>
      <c r="M120" s="1" t="str">
        <f t="shared" si="4"/>
        <v/>
      </c>
      <c r="N120" s="1" t="str">
        <f t="shared" si="5"/>
        <v>not read</v>
      </c>
      <c r="O120" t="s">
        <v>47</v>
      </c>
    </row>
    <row r="121" spans="1:15">
      <c r="A121" s="2" t="s">
        <v>597</v>
      </c>
      <c r="B121" t="s">
        <v>598</v>
      </c>
      <c r="C121" t="s">
        <v>599</v>
      </c>
      <c r="D121" s="2" t="s">
        <v>18</v>
      </c>
      <c r="E121" s="2" t="str">
        <f t="shared" si="3"/>
        <v>no rating</v>
      </c>
      <c r="F121" s="2" t="s">
        <v>19</v>
      </c>
      <c r="G121" t="s">
        <v>275</v>
      </c>
      <c r="H121" s="2" t="s">
        <v>600</v>
      </c>
      <c r="I121" s="3" t="str" cm="1">
        <f t="array" ref="I121">_xlfn.IFS(VALUE(TRIM(H121))&lt;300,"Short",VALUE(TRIM(H121))&lt;450,"Medium",VALUE(TRIM(H121))&lt;750,"Long",TRUE,"Very Long")</f>
        <v>Short</v>
      </c>
      <c r="J121" t="s">
        <v>601</v>
      </c>
      <c r="K121" t="str" cm="1">
        <f t="array" ref="K121">_xlfn.IFS(VALUE(TRIM(J121))&lt;0,"BC",VALUE(TRIM(J121))&lt;200,"100",VALUE(TRIM(J121))&lt;800,"700",VALUE(TRIM(J121))&lt;900,"800",VALUE(TRIM(J121))&lt;1000,"900",VALUE(TRIM(J121))&lt;1100,"1000",VALUE(TRIM(J121))&lt;1200,"1100",VALUE(TRIM(J121))&lt;1300,"1200",VALUE(TRIM(J121))&lt;1400,"1300",VALUE(TRIM(J121))&lt;1500,"1400",VALUE(TRIM(J121))&lt;1600,"1500",VALUE(TRIM(J121))&lt;1700,"1600",VALUE(TRIM(J121))&lt;1800,"1700",VALUE(TRIM(J121))&lt;1900,"1800",VALUE(TRIM(J121))&lt;2000,"1900",VALUE(TRIM(J121))&lt;2100,"2000")</f>
        <v>2000</v>
      </c>
      <c r="M121" s="1" t="str">
        <f t="shared" si="4"/>
        <v/>
      </c>
      <c r="N121" s="1" t="str">
        <f t="shared" si="5"/>
        <v>not read</v>
      </c>
      <c r="O121" t="s">
        <v>47</v>
      </c>
    </row>
    <row r="122" spans="1:15">
      <c r="A122" s="2" t="s">
        <v>602</v>
      </c>
      <c r="B122" t="s">
        <v>603</v>
      </c>
      <c r="C122" t="s">
        <v>582</v>
      </c>
      <c r="D122" s="2" t="s">
        <v>18</v>
      </c>
      <c r="E122" s="2" t="str">
        <f t="shared" si="3"/>
        <v>no rating</v>
      </c>
      <c r="F122" s="2" t="s">
        <v>82</v>
      </c>
      <c r="G122" t="s">
        <v>604</v>
      </c>
      <c r="H122" s="2" t="s">
        <v>605</v>
      </c>
      <c r="I122" s="3" t="str" cm="1">
        <f t="array" ref="I122">_xlfn.IFS(VALUE(TRIM(H122))&lt;300,"Short",VALUE(TRIM(H122))&lt;450,"Medium",VALUE(TRIM(H122))&lt;750,"Long",TRUE,"Very Long")</f>
        <v>Short</v>
      </c>
      <c r="J122" t="s">
        <v>139</v>
      </c>
      <c r="K122" t="str" cm="1">
        <f t="array" ref="K122">_xlfn.IFS(VALUE(TRIM(J122))&lt;0,"BC",VALUE(TRIM(J122))&lt;200,"100",VALUE(TRIM(J122))&lt;800,"700",VALUE(TRIM(J122))&lt;900,"800",VALUE(TRIM(J122))&lt;1000,"900",VALUE(TRIM(J122))&lt;1100,"1000",VALUE(TRIM(J122))&lt;1200,"1100",VALUE(TRIM(J122))&lt;1300,"1200",VALUE(TRIM(J122))&lt;1400,"1300",VALUE(TRIM(J122))&lt;1500,"1400",VALUE(TRIM(J122))&lt;1600,"1500",VALUE(TRIM(J122))&lt;1700,"1600",VALUE(TRIM(J122))&lt;1800,"1700",VALUE(TRIM(J122))&lt;1900,"1800",VALUE(TRIM(J122))&lt;2000,"1900",VALUE(TRIM(J122))&lt;2100,"2000")</f>
        <v>2000</v>
      </c>
      <c r="M122" s="1" t="str">
        <f t="shared" si="4"/>
        <v/>
      </c>
      <c r="N122" s="1" t="str">
        <f t="shared" si="5"/>
        <v>not read</v>
      </c>
      <c r="O122" t="s">
        <v>47</v>
      </c>
    </row>
    <row r="123" spans="1:15">
      <c r="A123" s="2" t="s">
        <v>606</v>
      </c>
      <c r="B123" t="s">
        <v>607</v>
      </c>
      <c r="C123" t="s">
        <v>608</v>
      </c>
      <c r="D123" s="2" t="s">
        <v>18</v>
      </c>
      <c r="E123" s="2" t="str">
        <f t="shared" si="3"/>
        <v>no rating</v>
      </c>
      <c r="F123" s="2" t="s">
        <v>19</v>
      </c>
      <c r="G123" t="s">
        <v>108</v>
      </c>
      <c r="H123" s="2" t="s">
        <v>204</v>
      </c>
      <c r="I123" s="3" t="str" cm="1">
        <f t="array" ref="I123">_xlfn.IFS(VALUE(TRIM(H123))&lt;300,"Short",VALUE(TRIM(H123))&lt;450,"Medium",VALUE(TRIM(H123))&lt;750,"Long",TRUE,"Very Long")</f>
        <v>Short</v>
      </c>
      <c r="J123" t="s">
        <v>98</v>
      </c>
      <c r="K123" t="str" cm="1">
        <f t="array" ref="K123">_xlfn.IFS(VALUE(TRIM(J123))&lt;0,"BC",VALUE(TRIM(J123))&lt;200,"100",VALUE(TRIM(J123))&lt;800,"700",VALUE(TRIM(J123))&lt;900,"800",VALUE(TRIM(J123))&lt;1000,"900",VALUE(TRIM(J123))&lt;1100,"1000",VALUE(TRIM(J123))&lt;1200,"1100",VALUE(TRIM(J123))&lt;1300,"1200",VALUE(TRIM(J123))&lt;1400,"1300",VALUE(TRIM(J123))&lt;1500,"1400",VALUE(TRIM(J123))&lt;1600,"1500",VALUE(TRIM(J123))&lt;1700,"1600",VALUE(TRIM(J123))&lt;1800,"1700",VALUE(TRIM(J123))&lt;1900,"1800",VALUE(TRIM(J123))&lt;2000,"1900",VALUE(TRIM(J123))&lt;2100,"2000")</f>
        <v>1900</v>
      </c>
      <c r="M123" s="1" t="str">
        <f t="shared" si="4"/>
        <v/>
      </c>
      <c r="N123" s="1" t="str">
        <f t="shared" si="5"/>
        <v>not read</v>
      </c>
      <c r="O123" t="s">
        <v>47</v>
      </c>
    </row>
    <row r="124" spans="1:15">
      <c r="A124" s="2" t="s">
        <v>609</v>
      </c>
      <c r="B124" t="s">
        <v>610</v>
      </c>
      <c r="C124" t="s">
        <v>611</v>
      </c>
      <c r="D124" s="2" t="s">
        <v>18</v>
      </c>
      <c r="E124" s="2" t="str">
        <f t="shared" si="3"/>
        <v>no rating</v>
      </c>
      <c r="F124" s="2" t="s">
        <v>43</v>
      </c>
      <c r="G124" t="s">
        <v>612</v>
      </c>
      <c r="H124" s="2" t="s">
        <v>613</v>
      </c>
      <c r="I124" s="3" t="str" cm="1">
        <f t="array" ref="I124">_xlfn.IFS(VALUE(TRIM(H124))&lt;300,"Short",VALUE(TRIM(H124))&lt;450,"Medium",VALUE(TRIM(H124))&lt;750,"Long",TRUE,"Very Long")</f>
        <v>Medium</v>
      </c>
      <c r="J124" t="s">
        <v>614</v>
      </c>
      <c r="K124" t="str" cm="1">
        <f t="array" ref="K124">_xlfn.IFS(VALUE(TRIM(J124))&lt;0,"BC",VALUE(TRIM(J124))&lt;200,"100",VALUE(TRIM(J124))&lt;800,"700",VALUE(TRIM(J124))&lt;900,"800",VALUE(TRIM(J124))&lt;1000,"900",VALUE(TRIM(J124))&lt;1100,"1000",VALUE(TRIM(J124))&lt;1200,"1100",VALUE(TRIM(J124))&lt;1300,"1200",VALUE(TRIM(J124))&lt;1400,"1300",VALUE(TRIM(J124))&lt;1500,"1400",VALUE(TRIM(J124))&lt;1600,"1500",VALUE(TRIM(J124))&lt;1700,"1600",VALUE(TRIM(J124))&lt;1800,"1700",VALUE(TRIM(J124))&lt;1900,"1800",VALUE(TRIM(J124))&lt;2000,"1900",VALUE(TRIM(J124))&lt;2100,"2000")</f>
        <v>1800</v>
      </c>
      <c r="M124" s="1" t="str">
        <f t="shared" si="4"/>
        <v/>
      </c>
      <c r="N124" s="1" t="str">
        <f t="shared" si="5"/>
        <v>not read</v>
      </c>
      <c r="O124" t="s">
        <v>47</v>
      </c>
    </row>
    <row r="125" spans="1:15">
      <c r="A125" s="2" t="s">
        <v>615</v>
      </c>
      <c r="B125" t="s">
        <v>616</v>
      </c>
      <c r="C125" t="s">
        <v>617</v>
      </c>
      <c r="D125" s="2" t="s">
        <v>18</v>
      </c>
      <c r="E125" s="2" t="str">
        <f t="shared" si="3"/>
        <v>no rating</v>
      </c>
      <c r="F125" s="2" t="s">
        <v>36</v>
      </c>
      <c r="G125" t="s">
        <v>125</v>
      </c>
      <c r="H125" s="2" t="s">
        <v>103</v>
      </c>
      <c r="I125" s="3" t="str" cm="1">
        <f t="array" ref="I125">_xlfn.IFS(VALUE(TRIM(H125))&lt;300,"Short",VALUE(TRIM(H125))&lt;450,"Medium",VALUE(TRIM(H125))&lt;750,"Long",TRUE,"Very Long")</f>
        <v>Medium</v>
      </c>
      <c r="J125" t="s">
        <v>384</v>
      </c>
      <c r="K125" t="str" cm="1">
        <f t="array" ref="K125">_xlfn.IFS(VALUE(TRIM(J125))&lt;0,"BC",VALUE(TRIM(J125))&lt;200,"100",VALUE(TRIM(J125))&lt;800,"700",VALUE(TRIM(J125))&lt;900,"800",VALUE(TRIM(J125))&lt;1000,"900",VALUE(TRIM(J125))&lt;1100,"1000",VALUE(TRIM(J125))&lt;1200,"1100",VALUE(TRIM(J125))&lt;1300,"1200",VALUE(TRIM(J125))&lt;1400,"1300",VALUE(TRIM(J125))&lt;1500,"1400",VALUE(TRIM(J125))&lt;1600,"1500",VALUE(TRIM(J125))&lt;1700,"1600",VALUE(TRIM(J125))&lt;1800,"1700",VALUE(TRIM(J125))&lt;1900,"1800",VALUE(TRIM(J125))&lt;2000,"1900",VALUE(TRIM(J125))&lt;2100,"2000")</f>
        <v>2000</v>
      </c>
      <c r="M125" s="1" t="str">
        <f t="shared" si="4"/>
        <v/>
      </c>
      <c r="N125" s="1" t="str">
        <f t="shared" si="5"/>
        <v>not read</v>
      </c>
      <c r="O125" t="s">
        <v>47</v>
      </c>
    </row>
    <row r="126" spans="1:15">
      <c r="A126" s="2" t="s">
        <v>618</v>
      </c>
      <c r="B126" t="s">
        <v>619</v>
      </c>
      <c r="C126" t="s">
        <v>620</v>
      </c>
      <c r="D126" s="2" t="s">
        <v>18</v>
      </c>
      <c r="E126" s="2" t="str">
        <f t="shared" si="3"/>
        <v>no rating</v>
      </c>
      <c r="F126" s="2" t="s">
        <v>43</v>
      </c>
      <c r="G126" t="s">
        <v>556</v>
      </c>
      <c r="H126" s="2" t="s">
        <v>621</v>
      </c>
      <c r="I126" s="3" t="str" cm="1">
        <f t="array" ref="I126">_xlfn.IFS(VALUE(TRIM(H126))&lt;300,"Short",VALUE(TRIM(H126))&lt;450,"Medium",VALUE(TRIM(H126))&lt;750,"Long",TRUE,"Very Long")</f>
        <v>Long</v>
      </c>
      <c r="J126" t="s">
        <v>622</v>
      </c>
      <c r="K126" t="str" cm="1">
        <f t="array" ref="K126">_xlfn.IFS(VALUE(TRIM(J126))&lt;0,"BC",VALUE(TRIM(J126))&lt;200,"100",VALUE(TRIM(J126))&lt;800,"700",VALUE(TRIM(J126))&lt;900,"800",VALUE(TRIM(J126))&lt;1000,"900",VALUE(TRIM(J126))&lt;1100,"1000",VALUE(TRIM(J126))&lt;1200,"1100",VALUE(TRIM(J126))&lt;1300,"1200",VALUE(TRIM(J126))&lt;1400,"1300",VALUE(TRIM(J126))&lt;1500,"1400",VALUE(TRIM(J126))&lt;1600,"1500",VALUE(TRIM(J126))&lt;1700,"1600",VALUE(TRIM(J126))&lt;1800,"1700",VALUE(TRIM(J126))&lt;1900,"1800",VALUE(TRIM(J126))&lt;2000,"1900",VALUE(TRIM(J126))&lt;2100,"2000")</f>
        <v>1900</v>
      </c>
      <c r="M126" s="1" t="str">
        <f t="shared" si="4"/>
        <v/>
      </c>
      <c r="N126" s="1" t="str">
        <f t="shared" si="5"/>
        <v>not read</v>
      </c>
      <c r="O126" t="s">
        <v>47</v>
      </c>
    </row>
    <row r="127" spans="1:15">
      <c r="A127" s="2" t="s">
        <v>623</v>
      </c>
      <c r="B127" t="s">
        <v>624</v>
      </c>
      <c r="C127" t="s">
        <v>625</v>
      </c>
      <c r="D127" s="2" t="s">
        <v>18</v>
      </c>
      <c r="E127" s="2" t="str">
        <f t="shared" si="3"/>
        <v>no rating</v>
      </c>
      <c r="F127" s="2" t="s">
        <v>43</v>
      </c>
      <c r="G127" t="s">
        <v>556</v>
      </c>
      <c r="H127" s="2" t="s">
        <v>626</v>
      </c>
      <c r="I127" s="3" t="str" cm="1">
        <f t="array" ref="I127">_xlfn.IFS(VALUE(TRIM(H127))&lt;300,"Short",VALUE(TRIM(H127))&lt;450,"Medium",VALUE(TRIM(H127))&lt;750,"Long",TRUE,"Very Long")</f>
        <v>Long</v>
      </c>
      <c r="J127" t="s">
        <v>627</v>
      </c>
      <c r="K127" t="str" cm="1">
        <f t="array" ref="K127">_xlfn.IFS(VALUE(TRIM(J127))&lt;0,"BC",VALUE(TRIM(J127))&lt;200,"100",VALUE(TRIM(J127))&lt;800,"700",VALUE(TRIM(J127))&lt;900,"800",VALUE(TRIM(J127))&lt;1000,"900",VALUE(TRIM(J127))&lt;1100,"1000",VALUE(TRIM(J127))&lt;1200,"1100",VALUE(TRIM(J127))&lt;1300,"1200",VALUE(TRIM(J127))&lt;1400,"1300",VALUE(TRIM(J127))&lt;1500,"1400",VALUE(TRIM(J127))&lt;1600,"1500",VALUE(TRIM(J127))&lt;1700,"1600",VALUE(TRIM(J127))&lt;1800,"1700",VALUE(TRIM(J127))&lt;1900,"1800",VALUE(TRIM(J127))&lt;2000,"1900",VALUE(TRIM(J127))&lt;2100,"2000")</f>
        <v>1900</v>
      </c>
      <c r="M127" s="1" t="str">
        <f t="shared" si="4"/>
        <v/>
      </c>
      <c r="N127" s="1" t="str">
        <f t="shared" si="5"/>
        <v>not read</v>
      </c>
      <c r="O127" t="s">
        <v>47</v>
      </c>
    </row>
    <row r="128" spans="1:15">
      <c r="A128" s="2" t="s">
        <v>628</v>
      </c>
      <c r="B128" t="s">
        <v>629</v>
      </c>
      <c r="C128" t="s">
        <v>630</v>
      </c>
      <c r="D128" s="2" t="s">
        <v>18</v>
      </c>
      <c r="E128" s="2" t="str">
        <f t="shared" si="3"/>
        <v>no rating</v>
      </c>
      <c r="F128" s="2" t="s">
        <v>82</v>
      </c>
      <c r="G128" t="s">
        <v>20</v>
      </c>
      <c r="H128" s="2" t="s">
        <v>631</v>
      </c>
      <c r="I128" s="3" t="str" cm="1">
        <f t="array" ref="I128">_xlfn.IFS(VALUE(TRIM(H128))&lt;300,"Short",VALUE(TRIM(H128))&lt;450,"Medium",VALUE(TRIM(H128))&lt;750,"Long",TRUE,"Very Long")</f>
        <v>Long</v>
      </c>
      <c r="J128" t="s">
        <v>632</v>
      </c>
      <c r="K128" t="str" cm="1">
        <f t="array" ref="K128">_xlfn.IFS(VALUE(TRIM(J128))&lt;0,"BC",VALUE(TRIM(J128))&lt;200,"100",VALUE(TRIM(J128))&lt;800,"700",VALUE(TRIM(J128))&lt;900,"800",VALUE(TRIM(J128))&lt;1000,"900",VALUE(TRIM(J128))&lt;1100,"1000",VALUE(TRIM(J128))&lt;1200,"1100",VALUE(TRIM(J128))&lt;1300,"1200",VALUE(TRIM(J128))&lt;1400,"1300",VALUE(TRIM(J128))&lt;1500,"1400",VALUE(TRIM(J128))&lt;1600,"1500",VALUE(TRIM(J128))&lt;1700,"1600",VALUE(TRIM(J128))&lt;1800,"1700",VALUE(TRIM(J128))&lt;1900,"1800",VALUE(TRIM(J128))&lt;2000,"1900",VALUE(TRIM(J128))&lt;2100,"2000")</f>
        <v>1800</v>
      </c>
      <c r="M128" s="1" t="str">
        <f t="shared" si="4"/>
        <v/>
      </c>
      <c r="N128" s="1" t="str">
        <f t="shared" si="5"/>
        <v>not read</v>
      </c>
      <c r="O128" t="s">
        <v>47</v>
      </c>
    </row>
    <row r="129" spans="1:15">
      <c r="A129" s="2" t="s">
        <v>633</v>
      </c>
      <c r="B129" t="s">
        <v>634</v>
      </c>
      <c r="C129" t="s">
        <v>635</v>
      </c>
      <c r="D129" s="2" t="s">
        <v>18</v>
      </c>
      <c r="E129" s="2" t="str">
        <f t="shared" ref="E129:E191" si="6">IF(D129="0","no rating", D129)</f>
        <v>no rating</v>
      </c>
      <c r="F129" s="2" t="s">
        <v>36</v>
      </c>
      <c r="G129" t="s">
        <v>198</v>
      </c>
      <c r="H129" s="2" t="s">
        <v>636</v>
      </c>
      <c r="I129" s="3" t="str" cm="1">
        <f t="array" ref="I129">_xlfn.IFS(VALUE(TRIM(H129))&lt;300,"Short",VALUE(TRIM(H129))&lt;450,"Medium",VALUE(TRIM(H129))&lt;750,"Long",TRUE,"Very Long")</f>
        <v>Short</v>
      </c>
      <c r="J129" t="s">
        <v>601</v>
      </c>
      <c r="K129" t="str" cm="1">
        <f t="array" ref="K129">_xlfn.IFS(VALUE(TRIM(J129))&lt;0,"BC",VALUE(TRIM(J129))&lt;200,"100",VALUE(TRIM(J129))&lt;800,"700",VALUE(TRIM(J129))&lt;900,"800",VALUE(TRIM(J129))&lt;1000,"900",VALUE(TRIM(J129))&lt;1100,"1000",VALUE(TRIM(J129))&lt;1200,"1100",VALUE(TRIM(J129))&lt;1300,"1200",VALUE(TRIM(J129))&lt;1400,"1300",VALUE(TRIM(J129))&lt;1500,"1400",VALUE(TRIM(J129))&lt;1600,"1500",VALUE(TRIM(J129))&lt;1700,"1600",VALUE(TRIM(J129))&lt;1800,"1700",VALUE(TRIM(J129))&lt;1900,"1800",VALUE(TRIM(J129))&lt;2000,"1900",VALUE(TRIM(J129))&lt;2100,"2000")</f>
        <v>2000</v>
      </c>
      <c r="M129" s="1" t="str">
        <f t="shared" si="4"/>
        <v/>
      </c>
      <c r="N129" s="1" t="str">
        <f t="shared" ref="N129:N191" si="7">IF(L129="","not read",L129)</f>
        <v>not read</v>
      </c>
      <c r="O129" t="s">
        <v>47</v>
      </c>
    </row>
    <row r="130" spans="1:15">
      <c r="A130" s="2" t="s">
        <v>219</v>
      </c>
      <c r="B130" t="s">
        <v>637</v>
      </c>
      <c r="C130" t="s">
        <v>638</v>
      </c>
      <c r="D130" s="2" t="s">
        <v>18</v>
      </c>
      <c r="E130" s="2" t="str">
        <f t="shared" si="6"/>
        <v>no rating</v>
      </c>
      <c r="F130" s="2" t="s">
        <v>19</v>
      </c>
      <c r="G130" t="s">
        <v>108</v>
      </c>
      <c r="H130" s="2" t="s">
        <v>639</v>
      </c>
      <c r="I130" s="3" t="str" cm="1">
        <f t="array" ref="I130">_xlfn.IFS(VALUE(TRIM(H130))&lt;300,"Short",VALUE(TRIM(H130))&lt;450,"Medium",VALUE(TRIM(H130))&lt;750,"Long",TRUE,"Very Long")</f>
        <v>Medium</v>
      </c>
      <c r="J130" t="s">
        <v>640</v>
      </c>
      <c r="K130" t="str" cm="1">
        <f t="array" ref="K130">_xlfn.IFS(VALUE(TRIM(J130))&lt;0,"BC",VALUE(TRIM(J130))&lt;200,"100",VALUE(TRIM(J130))&lt;800,"700",VALUE(TRIM(J130))&lt;900,"800",VALUE(TRIM(J130))&lt;1000,"900",VALUE(TRIM(J130))&lt;1100,"1000",VALUE(TRIM(J130))&lt;1200,"1100",VALUE(TRIM(J130))&lt;1300,"1200",VALUE(TRIM(J130))&lt;1400,"1300",VALUE(TRIM(J130))&lt;1500,"1400",VALUE(TRIM(J130))&lt;1600,"1500",VALUE(TRIM(J130))&lt;1700,"1600",VALUE(TRIM(J130))&lt;1800,"1700",VALUE(TRIM(J130))&lt;1900,"1800",VALUE(TRIM(J130))&lt;2000,"1900",VALUE(TRIM(J130))&lt;2100,"2000")</f>
        <v>1900</v>
      </c>
      <c r="M130" s="1" t="str">
        <f t="shared" si="4"/>
        <v/>
      </c>
      <c r="N130" s="1" t="str">
        <f t="shared" si="7"/>
        <v>not read</v>
      </c>
      <c r="O130" t="s">
        <v>47</v>
      </c>
    </row>
    <row r="131" spans="1:15">
      <c r="A131" s="2" t="s">
        <v>641</v>
      </c>
      <c r="B131" t="s">
        <v>642</v>
      </c>
      <c r="C131" t="s">
        <v>643</v>
      </c>
      <c r="D131" s="2" t="s">
        <v>18</v>
      </c>
      <c r="E131" s="2" t="str">
        <f t="shared" si="6"/>
        <v>no rating</v>
      </c>
      <c r="F131" s="2" t="s">
        <v>28</v>
      </c>
      <c r="G131" t="s">
        <v>20</v>
      </c>
      <c r="H131" s="2" t="s">
        <v>644</v>
      </c>
      <c r="I131" s="3" t="str" cm="1">
        <f t="array" ref="I131">_xlfn.IFS(VALUE(TRIM(H131))&lt;300,"Short",VALUE(TRIM(H131))&lt;450,"Medium",VALUE(TRIM(H131))&lt;750,"Long",TRUE,"Very Long")</f>
        <v>Short</v>
      </c>
      <c r="J131" t="s">
        <v>645</v>
      </c>
      <c r="K131" t="str" cm="1">
        <f t="array" ref="K131">_xlfn.IFS(VALUE(TRIM(J131))&lt;0,"BC",VALUE(TRIM(J131))&lt;200,"100",VALUE(TRIM(J131))&lt;800,"700",VALUE(TRIM(J131))&lt;900,"800",VALUE(TRIM(J131))&lt;1000,"900",VALUE(TRIM(J131))&lt;1100,"1000",VALUE(TRIM(J131))&lt;1200,"1100",VALUE(TRIM(J131))&lt;1300,"1200",VALUE(TRIM(J131))&lt;1400,"1300",VALUE(TRIM(J131))&lt;1500,"1400",VALUE(TRIM(J131))&lt;1600,"1500",VALUE(TRIM(J131))&lt;1700,"1600",VALUE(TRIM(J131))&lt;1800,"1700",VALUE(TRIM(J131))&lt;1900,"1800",VALUE(TRIM(J131))&lt;2000,"1900",VALUE(TRIM(J131))&lt;2100,"2000")</f>
        <v>1800</v>
      </c>
      <c r="M131" s="1" t="str">
        <f t="shared" ref="M131:M194" si="8">IF(L131="","",TEXT(L131,"mm/yyyy"))</f>
        <v/>
      </c>
      <c r="N131" s="1" t="str">
        <f t="shared" si="7"/>
        <v>not read</v>
      </c>
      <c r="O131" t="s">
        <v>47</v>
      </c>
    </row>
    <row r="132" spans="1:15">
      <c r="A132" s="2" t="s">
        <v>646</v>
      </c>
      <c r="B132" t="s">
        <v>647</v>
      </c>
      <c r="C132" t="s">
        <v>648</v>
      </c>
      <c r="D132" s="2" t="s">
        <v>18</v>
      </c>
      <c r="E132" s="2" t="str">
        <f t="shared" si="6"/>
        <v>no rating</v>
      </c>
      <c r="F132" s="2" t="s">
        <v>43</v>
      </c>
      <c r="G132" t="s">
        <v>649</v>
      </c>
      <c r="H132" s="2" t="s">
        <v>650</v>
      </c>
      <c r="I132" s="3" t="str" cm="1">
        <f t="array" ref="I132">_xlfn.IFS(VALUE(TRIM(H132))&lt;300,"Short",VALUE(TRIM(H132))&lt;450,"Medium",VALUE(TRIM(H132))&lt;750,"Long",TRUE,"Very Long")</f>
        <v>Medium</v>
      </c>
      <c r="J132" t="s">
        <v>54</v>
      </c>
      <c r="K132" t="str" cm="1">
        <f t="array" ref="K132">_xlfn.IFS(VALUE(TRIM(J132))&lt;0,"BC",VALUE(TRIM(J132))&lt;200,"100",VALUE(TRIM(J132))&lt;800,"700",VALUE(TRIM(J132))&lt;900,"800",VALUE(TRIM(J132))&lt;1000,"900",VALUE(TRIM(J132))&lt;1100,"1000",VALUE(TRIM(J132))&lt;1200,"1100",VALUE(TRIM(J132))&lt;1300,"1200",VALUE(TRIM(J132))&lt;1400,"1300",VALUE(TRIM(J132))&lt;1500,"1400",VALUE(TRIM(J132))&lt;1600,"1500",VALUE(TRIM(J132))&lt;1700,"1600",VALUE(TRIM(J132))&lt;1800,"1700",VALUE(TRIM(J132))&lt;1900,"1800",VALUE(TRIM(J132))&lt;2000,"1900",VALUE(TRIM(J132))&lt;2100,"2000")</f>
        <v>2000</v>
      </c>
      <c r="M132" s="1" t="str">
        <f t="shared" si="8"/>
        <v/>
      </c>
      <c r="N132" s="1" t="str">
        <f t="shared" si="7"/>
        <v>not read</v>
      </c>
      <c r="O132" t="s">
        <v>47</v>
      </c>
    </row>
    <row r="133" spans="1:15">
      <c r="A133" s="2" t="s">
        <v>651</v>
      </c>
      <c r="B133" t="s">
        <v>652</v>
      </c>
      <c r="C133" t="s">
        <v>653</v>
      </c>
      <c r="D133" s="2" t="s">
        <v>18</v>
      </c>
      <c r="E133" s="2" t="str">
        <f t="shared" si="6"/>
        <v>no rating</v>
      </c>
      <c r="F133" s="2" t="s">
        <v>43</v>
      </c>
      <c r="G133" t="s">
        <v>20</v>
      </c>
      <c r="H133" s="2" t="s">
        <v>654</v>
      </c>
      <c r="I133" s="3" t="str" cm="1">
        <f t="array" ref="I133">_xlfn.IFS(VALUE(TRIM(H133))&lt;300,"Short",VALUE(TRIM(H133))&lt;450,"Medium",VALUE(TRIM(H133))&lt;750,"Long",TRUE,"Very Long")</f>
        <v>Long</v>
      </c>
      <c r="J133" t="s">
        <v>194</v>
      </c>
      <c r="K133" t="str" cm="1">
        <f t="array" ref="K133">_xlfn.IFS(VALUE(TRIM(J133))&lt;0,"BC",VALUE(TRIM(J133))&lt;200,"100",VALUE(TRIM(J133))&lt;800,"700",VALUE(TRIM(J133))&lt;900,"800",VALUE(TRIM(J133))&lt;1000,"900",VALUE(TRIM(J133))&lt;1100,"1000",VALUE(TRIM(J133))&lt;1200,"1100",VALUE(TRIM(J133))&lt;1300,"1200",VALUE(TRIM(J133))&lt;1400,"1300",VALUE(TRIM(J133))&lt;1500,"1400",VALUE(TRIM(J133))&lt;1600,"1500",VALUE(TRIM(J133))&lt;1700,"1600",VALUE(TRIM(J133))&lt;1800,"1700",VALUE(TRIM(J133))&lt;1900,"1800",VALUE(TRIM(J133))&lt;2000,"1900",VALUE(TRIM(J133))&lt;2100,"2000")</f>
        <v>1800</v>
      </c>
      <c r="M133" s="1" t="str">
        <f t="shared" si="8"/>
        <v/>
      </c>
      <c r="N133" s="1" t="str">
        <f t="shared" si="7"/>
        <v>not read</v>
      </c>
      <c r="O133" t="s">
        <v>47</v>
      </c>
    </row>
    <row r="134" spans="1:15">
      <c r="A134" s="2" t="s">
        <v>655</v>
      </c>
      <c r="B134" t="s">
        <v>656</v>
      </c>
      <c r="C134" t="s">
        <v>657</v>
      </c>
      <c r="D134" s="2" t="s">
        <v>18</v>
      </c>
      <c r="E134" s="2" t="str">
        <f t="shared" si="6"/>
        <v>no rating</v>
      </c>
      <c r="F134" s="2" t="s">
        <v>69</v>
      </c>
      <c r="G134" t="s">
        <v>537</v>
      </c>
      <c r="H134" s="2" t="s">
        <v>276</v>
      </c>
      <c r="I134" s="3" t="str" cm="1">
        <f t="array" ref="I134">_xlfn.IFS(VALUE(TRIM(H134))&lt;300,"Short",VALUE(TRIM(H134))&lt;450,"Medium",VALUE(TRIM(H134))&lt;750,"Long",TRUE,"Very Long")</f>
        <v>Medium</v>
      </c>
      <c r="J134" t="s">
        <v>259</v>
      </c>
      <c r="K134" t="str" cm="1">
        <f t="array" ref="K134">_xlfn.IFS(VALUE(TRIM(J134))&lt;0,"BC",VALUE(TRIM(J134))&lt;200,"100",VALUE(TRIM(J134))&lt;800,"700",VALUE(TRIM(J134))&lt;900,"800",VALUE(TRIM(J134))&lt;1000,"900",VALUE(TRIM(J134))&lt;1100,"1000",VALUE(TRIM(J134))&lt;1200,"1100",VALUE(TRIM(J134))&lt;1300,"1200",VALUE(TRIM(J134))&lt;1400,"1300",VALUE(TRIM(J134))&lt;1500,"1400",VALUE(TRIM(J134))&lt;1600,"1500",VALUE(TRIM(J134))&lt;1700,"1600",VALUE(TRIM(J134))&lt;1800,"1700",VALUE(TRIM(J134))&lt;1900,"1800",VALUE(TRIM(J134))&lt;2000,"1900",VALUE(TRIM(J134))&lt;2100,"2000")</f>
        <v>2000</v>
      </c>
      <c r="M134" s="1" t="str">
        <f t="shared" si="8"/>
        <v/>
      </c>
      <c r="N134" s="1" t="str">
        <f t="shared" si="7"/>
        <v>not read</v>
      </c>
      <c r="O134" t="s">
        <v>47</v>
      </c>
    </row>
    <row r="135" spans="1:15">
      <c r="A135" s="2" t="s">
        <v>658</v>
      </c>
      <c r="B135" t="s">
        <v>659</v>
      </c>
      <c r="C135" t="s">
        <v>660</v>
      </c>
      <c r="D135" s="2" t="s">
        <v>18</v>
      </c>
      <c r="E135" s="2" t="str">
        <f t="shared" si="6"/>
        <v>no rating</v>
      </c>
      <c r="F135" s="2" t="s">
        <v>36</v>
      </c>
      <c r="G135" t="s">
        <v>509</v>
      </c>
      <c r="H135" s="2" t="s">
        <v>661</v>
      </c>
      <c r="I135" s="3" t="str" cm="1">
        <f t="array" ref="I135">_xlfn.IFS(VALUE(TRIM(H135))&lt;300,"Short",VALUE(TRIM(H135))&lt;450,"Medium",VALUE(TRIM(H135))&lt;750,"Long",TRUE,"Very Long")</f>
        <v>Short</v>
      </c>
      <c r="J135" t="s">
        <v>662</v>
      </c>
      <c r="K135" t="str" cm="1">
        <f t="array" ref="K135">_xlfn.IFS(VALUE(TRIM(J135))&lt;0,"BC",VALUE(TRIM(J135))&lt;200,"100",VALUE(TRIM(J135))&lt;800,"700",VALUE(TRIM(J135))&lt;900,"800",VALUE(TRIM(J135))&lt;1000,"900",VALUE(TRIM(J135))&lt;1100,"1000",VALUE(TRIM(J135))&lt;1200,"1100",VALUE(TRIM(J135))&lt;1300,"1200",VALUE(TRIM(J135))&lt;1400,"1300",VALUE(TRIM(J135))&lt;1500,"1400",VALUE(TRIM(J135))&lt;1600,"1500",VALUE(TRIM(J135))&lt;1700,"1600",VALUE(TRIM(J135))&lt;1800,"1700",VALUE(TRIM(J135))&lt;1900,"1800",VALUE(TRIM(J135))&lt;2000,"1900",VALUE(TRIM(J135))&lt;2100,"2000")</f>
        <v>1900</v>
      </c>
      <c r="M135" s="1" t="str">
        <f t="shared" si="8"/>
        <v/>
      </c>
      <c r="N135" s="1" t="str">
        <f t="shared" si="7"/>
        <v>not read</v>
      </c>
      <c r="O135" t="s">
        <v>47</v>
      </c>
    </row>
    <row r="136" spans="1:15">
      <c r="A136" s="2" t="s">
        <v>663</v>
      </c>
      <c r="B136" t="s">
        <v>664</v>
      </c>
      <c r="C136" t="s">
        <v>665</v>
      </c>
      <c r="D136" s="2" t="s">
        <v>18</v>
      </c>
      <c r="E136" s="2" t="str">
        <f t="shared" si="6"/>
        <v>no rating</v>
      </c>
      <c r="F136" s="2" t="s">
        <v>178</v>
      </c>
      <c r="G136" t="s">
        <v>666</v>
      </c>
      <c r="H136" s="2" t="s">
        <v>667</v>
      </c>
      <c r="I136" s="3" t="str" cm="1">
        <f t="array" ref="I136">_xlfn.IFS(VALUE(TRIM(H136))&lt;300,"Short",VALUE(TRIM(H136))&lt;450,"Medium",VALUE(TRIM(H136))&lt;750,"Long",TRUE,"Very Long")</f>
        <v>Short</v>
      </c>
      <c r="J136" t="s">
        <v>668</v>
      </c>
      <c r="K136" t="str" cm="1">
        <f t="array" ref="K136">_xlfn.IFS(VALUE(TRIM(J136))&lt;0,"BC",VALUE(TRIM(J136))&lt;200,"100",VALUE(TRIM(J136))&lt;800,"700",VALUE(TRIM(J136))&lt;900,"800",VALUE(TRIM(J136))&lt;1000,"900",VALUE(TRIM(J136))&lt;1100,"1000",VALUE(TRIM(J136))&lt;1200,"1100",VALUE(TRIM(J136))&lt;1300,"1200",VALUE(TRIM(J136))&lt;1400,"1300",VALUE(TRIM(J136))&lt;1500,"1400",VALUE(TRIM(J136))&lt;1600,"1500",VALUE(TRIM(J136))&lt;1700,"1600",VALUE(TRIM(J136))&lt;1800,"1700",VALUE(TRIM(J136))&lt;1900,"1800",VALUE(TRIM(J136))&lt;2000,"1900",VALUE(TRIM(J136))&lt;2100,"2000")</f>
        <v>1900</v>
      </c>
      <c r="M136" s="1" t="str">
        <f t="shared" si="8"/>
        <v/>
      </c>
      <c r="N136" s="1" t="str">
        <f t="shared" si="7"/>
        <v>not read</v>
      </c>
      <c r="O136" t="s">
        <v>47</v>
      </c>
    </row>
    <row r="137" spans="1:15">
      <c r="A137" s="2" t="s">
        <v>669</v>
      </c>
      <c r="B137" t="s">
        <v>670</v>
      </c>
      <c r="C137" t="s">
        <v>671</v>
      </c>
      <c r="D137" s="2" t="s">
        <v>18</v>
      </c>
      <c r="E137" s="2" t="str">
        <f t="shared" si="6"/>
        <v>no rating</v>
      </c>
      <c r="F137" s="2" t="s">
        <v>28</v>
      </c>
      <c r="G137" t="s">
        <v>83</v>
      </c>
      <c r="H137" s="2" t="s">
        <v>496</v>
      </c>
      <c r="I137" s="3" t="str" cm="1">
        <f t="array" ref="I137">_xlfn.IFS(VALUE(TRIM(H137))&lt;300,"Short",VALUE(TRIM(H137))&lt;450,"Medium",VALUE(TRIM(H137))&lt;750,"Long",TRUE,"Very Long")</f>
        <v>Short</v>
      </c>
      <c r="J137" t="s">
        <v>185</v>
      </c>
      <c r="K137" t="str" cm="1">
        <f t="array" ref="K137">_xlfn.IFS(VALUE(TRIM(J137))&lt;0,"BC",VALUE(TRIM(J137))&lt;200,"100",VALUE(TRIM(J137))&lt;800,"700",VALUE(TRIM(J137))&lt;900,"800",VALUE(TRIM(J137))&lt;1000,"900",VALUE(TRIM(J137))&lt;1100,"1000",VALUE(TRIM(J137))&lt;1200,"1100",VALUE(TRIM(J137))&lt;1300,"1200",VALUE(TRIM(J137))&lt;1400,"1300",VALUE(TRIM(J137))&lt;1500,"1400",VALUE(TRIM(J137))&lt;1600,"1500",VALUE(TRIM(J137))&lt;1700,"1600",VALUE(TRIM(J137))&lt;1800,"1700",VALUE(TRIM(J137))&lt;1900,"1800",VALUE(TRIM(J137))&lt;2000,"1900",VALUE(TRIM(J137))&lt;2100,"2000")</f>
        <v>1900</v>
      </c>
      <c r="M137" s="1" t="str">
        <f t="shared" si="8"/>
        <v/>
      </c>
      <c r="N137" s="1" t="str">
        <f t="shared" si="7"/>
        <v>not read</v>
      </c>
      <c r="O137" t="s">
        <v>47</v>
      </c>
    </row>
    <row r="138" spans="1:15">
      <c r="A138" s="2" t="s">
        <v>672</v>
      </c>
      <c r="B138" t="s">
        <v>92</v>
      </c>
      <c r="C138" t="s">
        <v>673</v>
      </c>
      <c r="D138" s="2" t="s">
        <v>18</v>
      </c>
      <c r="E138" s="2" t="str">
        <f t="shared" si="6"/>
        <v>no rating</v>
      </c>
      <c r="F138" s="2" t="s">
        <v>43</v>
      </c>
      <c r="G138" t="s">
        <v>407</v>
      </c>
      <c r="H138" s="2" t="s">
        <v>271</v>
      </c>
      <c r="I138" s="3" t="str" cm="1">
        <f t="array" ref="I138">_xlfn.IFS(VALUE(TRIM(H138))&lt;300,"Short",VALUE(TRIM(H138))&lt;450,"Medium",VALUE(TRIM(H138))&lt;750,"Long",TRUE,"Very Long")</f>
        <v>Medium</v>
      </c>
      <c r="J138" t="s">
        <v>674</v>
      </c>
      <c r="K138" t="str" cm="1">
        <f t="array" ref="K138">_xlfn.IFS(VALUE(TRIM(J138))&lt;0,"BC",VALUE(TRIM(J138))&lt;200,"100",VALUE(TRIM(J138))&lt;800,"700",VALUE(TRIM(J138))&lt;900,"800",VALUE(TRIM(J138))&lt;1000,"900",VALUE(TRIM(J138))&lt;1100,"1000",VALUE(TRIM(J138))&lt;1200,"1100",VALUE(TRIM(J138))&lt;1300,"1200",VALUE(TRIM(J138))&lt;1400,"1300",VALUE(TRIM(J138))&lt;1500,"1400",VALUE(TRIM(J138))&lt;1600,"1500",VALUE(TRIM(J138))&lt;1700,"1600",VALUE(TRIM(J138))&lt;1800,"1700",VALUE(TRIM(J138))&lt;1900,"1800",VALUE(TRIM(J138))&lt;2000,"1900",VALUE(TRIM(J138))&lt;2100,"2000")</f>
        <v>1900</v>
      </c>
      <c r="M138" s="1" t="str">
        <f t="shared" si="8"/>
        <v/>
      </c>
      <c r="N138" s="1" t="str">
        <f t="shared" si="7"/>
        <v>not read</v>
      </c>
      <c r="O138" t="s">
        <v>47</v>
      </c>
    </row>
    <row r="139" spans="1:15">
      <c r="A139" s="2" t="s">
        <v>675</v>
      </c>
      <c r="B139" t="s">
        <v>676</v>
      </c>
      <c r="C139" t="s">
        <v>677</v>
      </c>
      <c r="D139" s="2" t="s">
        <v>18</v>
      </c>
      <c r="E139" s="2" t="str">
        <f t="shared" si="6"/>
        <v>no rating</v>
      </c>
      <c r="F139" s="2" t="s">
        <v>19</v>
      </c>
      <c r="G139" t="s">
        <v>218</v>
      </c>
      <c r="H139" s="2" t="s">
        <v>678</v>
      </c>
      <c r="I139" s="3" t="str" cm="1">
        <f t="array" ref="I139">_xlfn.IFS(VALUE(TRIM(H139))&lt;300,"Short",VALUE(TRIM(H139))&lt;450,"Medium",VALUE(TRIM(H139))&lt;750,"Long",TRUE,"Very Long")</f>
        <v>Long</v>
      </c>
      <c r="J139" t="s">
        <v>415</v>
      </c>
      <c r="K139" t="str" cm="1">
        <f t="array" ref="K139">_xlfn.IFS(VALUE(TRIM(J139))&lt;0,"BC",VALUE(TRIM(J139))&lt;200,"100",VALUE(TRIM(J139))&lt;800,"700",VALUE(TRIM(J139))&lt;900,"800",VALUE(TRIM(J139))&lt;1000,"900",VALUE(TRIM(J139))&lt;1100,"1000",VALUE(TRIM(J139))&lt;1200,"1100",VALUE(TRIM(J139))&lt;1300,"1200",VALUE(TRIM(J139))&lt;1400,"1300",VALUE(TRIM(J139))&lt;1500,"1400",VALUE(TRIM(J139))&lt;1600,"1500",VALUE(TRIM(J139))&lt;1700,"1600",VALUE(TRIM(J139))&lt;1800,"1700",VALUE(TRIM(J139))&lt;1900,"1800",VALUE(TRIM(J139))&lt;2000,"1900",VALUE(TRIM(J139))&lt;2100,"2000")</f>
        <v>2000</v>
      </c>
      <c r="M139" s="1" t="str">
        <f t="shared" si="8"/>
        <v/>
      </c>
      <c r="N139" s="1" t="str">
        <f t="shared" si="7"/>
        <v>not read</v>
      </c>
      <c r="O139" t="s">
        <v>47</v>
      </c>
    </row>
    <row r="140" spans="1:15">
      <c r="A140" s="2" t="s">
        <v>679</v>
      </c>
      <c r="B140" t="s">
        <v>680</v>
      </c>
      <c r="C140" t="s">
        <v>630</v>
      </c>
      <c r="D140" s="2" t="s">
        <v>18</v>
      </c>
      <c r="E140" s="2" t="str">
        <f t="shared" si="6"/>
        <v>no rating</v>
      </c>
      <c r="F140" s="2" t="s">
        <v>19</v>
      </c>
      <c r="G140" t="s">
        <v>20</v>
      </c>
      <c r="H140" s="2" t="s">
        <v>681</v>
      </c>
      <c r="I140" s="3" t="str" cm="1">
        <f t="array" ref="I140">_xlfn.IFS(VALUE(TRIM(H140))&lt;300,"Short",VALUE(TRIM(H140))&lt;450,"Medium",VALUE(TRIM(H140))&lt;750,"Long",TRUE,"Very Long")</f>
        <v>Short</v>
      </c>
      <c r="J140" t="s">
        <v>682</v>
      </c>
      <c r="K140" t="str" cm="1">
        <f t="array" ref="K140">_xlfn.IFS(VALUE(TRIM(J140))&lt;0,"BC",VALUE(TRIM(J140))&lt;200,"100",VALUE(TRIM(J140))&lt;800,"700",VALUE(TRIM(J140))&lt;900,"800",VALUE(TRIM(J140))&lt;1000,"900",VALUE(TRIM(J140))&lt;1100,"1000",VALUE(TRIM(J140))&lt;1200,"1100",VALUE(TRIM(J140))&lt;1300,"1200",VALUE(TRIM(J140))&lt;1400,"1300",VALUE(TRIM(J140))&lt;1500,"1400",VALUE(TRIM(J140))&lt;1600,"1500",VALUE(TRIM(J140))&lt;1700,"1600",VALUE(TRIM(J140))&lt;1800,"1700",VALUE(TRIM(J140))&lt;1900,"1800",VALUE(TRIM(J140))&lt;2000,"1900",VALUE(TRIM(J140))&lt;2100,"2000")</f>
        <v>1800</v>
      </c>
      <c r="M140" s="1" t="str">
        <f t="shared" si="8"/>
        <v/>
      </c>
      <c r="N140" s="1" t="str">
        <f t="shared" si="7"/>
        <v>not read</v>
      </c>
      <c r="O140" t="s">
        <v>47</v>
      </c>
    </row>
    <row r="141" spans="1:15">
      <c r="A141" s="2" t="s">
        <v>683</v>
      </c>
      <c r="B141" t="s">
        <v>684</v>
      </c>
      <c r="C141" t="s">
        <v>685</v>
      </c>
      <c r="D141" s="2" t="s">
        <v>18</v>
      </c>
      <c r="E141" s="2" t="str">
        <f t="shared" si="6"/>
        <v>no rating</v>
      </c>
      <c r="F141" s="2" t="s">
        <v>82</v>
      </c>
      <c r="G141" t="s">
        <v>275</v>
      </c>
      <c r="H141" s="2" t="s">
        <v>686</v>
      </c>
      <c r="I141" s="3" t="str" cm="1">
        <f t="array" ref="I141">_xlfn.IFS(VALUE(TRIM(H141))&lt;300,"Short",VALUE(TRIM(H141))&lt;450,"Medium",VALUE(TRIM(H141))&lt;750,"Long",TRUE,"Very Long")</f>
        <v>Short</v>
      </c>
      <c r="J141" t="s">
        <v>208</v>
      </c>
      <c r="K141" t="str" cm="1">
        <f t="array" ref="K141">_xlfn.IFS(VALUE(TRIM(J141))&lt;0,"BC",VALUE(TRIM(J141))&lt;200,"100",VALUE(TRIM(J141))&lt;800,"700",VALUE(TRIM(J141))&lt;900,"800",VALUE(TRIM(J141))&lt;1000,"900",VALUE(TRIM(J141))&lt;1100,"1000",VALUE(TRIM(J141))&lt;1200,"1100",VALUE(TRIM(J141))&lt;1300,"1200",VALUE(TRIM(J141))&lt;1400,"1300",VALUE(TRIM(J141))&lt;1500,"1400",VALUE(TRIM(J141))&lt;1600,"1500",VALUE(TRIM(J141))&lt;1700,"1600",VALUE(TRIM(J141))&lt;1800,"1700",VALUE(TRIM(J141))&lt;1900,"1800",VALUE(TRIM(J141))&lt;2000,"1900",VALUE(TRIM(J141))&lt;2100,"2000")</f>
        <v>2000</v>
      </c>
      <c r="M141" s="1" t="str">
        <f t="shared" si="8"/>
        <v/>
      </c>
      <c r="N141" s="1" t="str">
        <f t="shared" si="7"/>
        <v>not read</v>
      </c>
      <c r="O141" t="s">
        <v>47</v>
      </c>
    </row>
    <row r="142" spans="1:15">
      <c r="A142" s="2" t="s">
        <v>687</v>
      </c>
      <c r="B142" t="s">
        <v>688</v>
      </c>
      <c r="C142" t="s">
        <v>689</v>
      </c>
      <c r="D142" s="2" t="s">
        <v>18</v>
      </c>
      <c r="E142" s="2" t="str">
        <f t="shared" si="6"/>
        <v>no rating</v>
      </c>
      <c r="F142" s="2" t="s">
        <v>19</v>
      </c>
      <c r="G142" t="s">
        <v>690</v>
      </c>
      <c r="H142" s="2" t="s">
        <v>97</v>
      </c>
      <c r="I142" s="3" t="str" cm="1">
        <f t="array" ref="I142">_xlfn.IFS(VALUE(TRIM(H142))&lt;300,"Short",VALUE(TRIM(H142))&lt;450,"Medium",VALUE(TRIM(H142))&lt;750,"Long",TRUE,"Very Long")</f>
        <v>Short</v>
      </c>
      <c r="J142" t="s">
        <v>174</v>
      </c>
      <c r="K142" t="str" cm="1">
        <f t="array" ref="K142">_xlfn.IFS(VALUE(TRIM(J142))&lt;0,"BC",VALUE(TRIM(J142))&lt;200,"100",VALUE(TRIM(J142))&lt;800,"700",VALUE(TRIM(J142))&lt;900,"800",VALUE(TRIM(J142))&lt;1000,"900",VALUE(TRIM(J142))&lt;1100,"1000",VALUE(TRIM(J142))&lt;1200,"1100",VALUE(TRIM(J142))&lt;1300,"1200",VALUE(TRIM(J142))&lt;1400,"1300",VALUE(TRIM(J142))&lt;1500,"1400",VALUE(TRIM(J142))&lt;1600,"1500",VALUE(TRIM(J142))&lt;1700,"1600",VALUE(TRIM(J142))&lt;1800,"1700",VALUE(TRIM(J142))&lt;1900,"1800",VALUE(TRIM(J142))&lt;2000,"1900",VALUE(TRIM(J142))&lt;2100,"2000")</f>
        <v>2000</v>
      </c>
      <c r="M142" s="1" t="str">
        <f t="shared" si="8"/>
        <v/>
      </c>
      <c r="N142" s="1" t="str">
        <f t="shared" si="7"/>
        <v>not read</v>
      </c>
      <c r="O142" t="s">
        <v>47</v>
      </c>
    </row>
    <row r="143" spans="1:15">
      <c r="A143" s="2" t="s">
        <v>691</v>
      </c>
      <c r="B143" t="s">
        <v>692</v>
      </c>
      <c r="C143" t="s">
        <v>693</v>
      </c>
      <c r="D143" s="2" t="s">
        <v>18</v>
      </c>
      <c r="E143" s="2" t="str">
        <f t="shared" si="6"/>
        <v>no rating</v>
      </c>
      <c r="F143" s="2" t="s">
        <v>82</v>
      </c>
      <c r="G143" t="s">
        <v>694</v>
      </c>
      <c r="H143" s="2" t="s">
        <v>103</v>
      </c>
      <c r="I143" s="3" t="str" cm="1">
        <f t="array" ref="I143">_xlfn.IFS(VALUE(TRIM(H143))&lt;300,"Short",VALUE(TRIM(H143))&lt;450,"Medium",VALUE(TRIM(H143))&lt;750,"Long",TRUE,"Very Long")</f>
        <v>Medium</v>
      </c>
      <c r="J143" t="s">
        <v>384</v>
      </c>
      <c r="K143" t="str" cm="1">
        <f t="array" ref="K143">_xlfn.IFS(VALUE(TRIM(J143))&lt;0,"BC",VALUE(TRIM(J143))&lt;200,"100",VALUE(TRIM(J143))&lt;800,"700",VALUE(TRIM(J143))&lt;900,"800",VALUE(TRIM(J143))&lt;1000,"900",VALUE(TRIM(J143))&lt;1100,"1000",VALUE(TRIM(J143))&lt;1200,"1100",VALUE(TRIM(J143))&lt;1300,"1200",VALUE(TRIM(J143))&lt;1400,"1300",VALUE(TRIM(J143))&lt;1500,"1400",VALUE(TRIM(J143))&lt;1600,"1500",VALUE(TRIM(J143))&lt;1700,"1600",VALUE(TRIM(J143))&lt;1800,"1700",VALUE(TRIM(J143))&lt;1900,"1800",VALUE(TRIM(J143))&lt;2000,"1900",VALUE(TRIM(J143))&lt;2100,"2000")</f>
        <v>2000</v>
      </c>
      <c r="M143" s="1" t="str">
        <f t="shared" si="8"/>
        <v/>
      </c>
      <c r="N143" s="1" t="str">
        <f t="shared" si="7"/>
        <v>not read</v>
      </c>
      <c r="O143" t="s">
        <v>47</v>
      </c>
    </row>
    <row r="144" spans="1:15">
      <c r="A144" s="2" t="s">
        <v>695</v>
      </c>
      <c r="B144" t="s">
        <v>696</v>
      </c>
      <c r="C144" t="s">
        <v>697</v>
      </c>
      <c r="D144" s="2" t="s">
        <v>18</v>
      </c>
      <c r="E144" s="2" t="str">
        <f t="shared" si="6"/>
        <v>no rating</v>
      </c>
      <c r="F144" s="2" t="s">
        <v>69</v>
      </c>
      <c r="G144" t="s">
        <v>698</v>
      </c>
      <c r="H144" s="2" t="s">
        <v>77</v>
      </c>
      <c r="I144" s="3" t="str" cm="1">
        <f t="array" ref="I144">_xlfn.IFS(VALUE(TRIM(H144))&lt;300,"Short",VALUE(TRIM(H144))&lt;450,"Medium",VALUE(TRIM(H144))&lt;750,"Long",TRUE,"Very Long")</f>
        <v>Medium</v>
      </c>
      <c r="J144" t="s">
        <v>110</v>
      </c>
      <c r="K144" t="str" cm="1">
        <f t="array" ref="K144">_xlfn.IFS(VALUE(TRIM(J144))&lt;0,"BC",VALUE(TRIM(J144))&lt;200,"100",VALUE(TRIM(J144))&lt;800,"700",VALUE(TRIM(J144))&lt;900,"800",VALUE(TRIM(J144))&lt;1000,"900",VALUE(TRIM(J144))&lt;1100,"1000",VALUE(TRIM(J144))&lt;1200,"1100",VALUE(TRIM(J144))&lt;1300,"1200",VALUE(TRIM(J144))&lt;1400,"1300",VALUE(TRIM(J144))&lt;1500,"1400",VALUE(TRIM(J144))&lt;1600,"1500",VALUE(TRIM(J144))&lt;1700,"1600",VALUE(TRIM(J144))&lt;1800,"1700",VALUE(TRIM(J144))&lt;1900,"1800",VALUE(TRIM(J144))&lt;2000,"1900",VALUE(TRIM(J144))&lt;2100,"2000")</f>
        <v>2000</v>
      </c>
      <c r="M144" s="1" t="str">
        <f t="shared" si="8"/>
        <v/>
      </c>
      <c r="N144" s="1" t="str">
        <f t="shared" si="7"/>
        <v>not read</v>
      </c>
      <c r="O144" t="s">
        <v>47</v>
      </c>
    </row>
    <row r="145" spans="1:15">
      <c r="A145" s="2" t="s">
        <v>699</v>
      </c>
      <c r="B145" t="s">
        <v>700</v>
      </c>
      <c r="C145" t="s">
        <v>300</v>
      </c>
      <c r="D145" s="2" t="s">
        <v>27</v>
      </c>
      <c r="E145" s="2" t="str">
        <f t="shared" si="6"/>
        <v>3</v>
      </c>
      <c r="F145" s="2" t="s">
        <v>36</v>
      </c>
      <c r="G145" t="s">
        <v>666</v>
      </c>
      <c r="H145" s="2" t="s">
        <v>53</v>
      </c>
      <c r="I145" s="3" t="str" cm="1">
        <f t="array" ref="I145">_xlfn.IFS(VALUE(TRIM(H145))&lt;300,"Short",VALUE(TRIM(H145))&lt;450,"Medium",VALUE(TRIM(H145))&lt;750,"Long",TRUE,"Very Long")</f>
        <v>Short</v>
      </c>
      <c r="J145" t="s">
        <v>200</v>
      </c>
      <c r="K145" t="str" cm="1">
        <f t="array" ref="K145">_xlfn.IFS(VALUE(TRIM(J145))&lt;0,"BC",VALUE(TRIM(J145))&lt;200,"100",VALUE(TRIM(J145))&lt;800,"700",VALUE(TRIM(J145))&lt;900,"800",VALUE(TRIM(J145))&lt;1000,"900",VALUE(TRIM(J145))&lt;1100,"1000",VALUE(TRIM(J145))&lt;1200,"1100",VALUE(TRIM(J145))&lt;1300,"1200",VALUE(TRIM(J145))&lt;1400,"1300",VALUE(TRIM(J145))&lt;1500,"1400",VALUE(TRIM(J145))&lt;1600,"1500",VALUE(TRIM(J145))&lt;1700,"1600",VALUE(TRIM(J145))&lt;1800,"1700",VALUE(TRIM(J145))&lt;1900,"1800",VALUE(TRIM(J145))&lt;2000,"1900",VALUE(TRIM(J145))&lt;2100,"2000")</f>
        <v>2000</v>
      </c>
      <c r="L145" s="1">
        <v>45605</v>
      </c>
      <c r="M145" s="1" t="str">
        <f t="shared" si="8"/>
        <v>11/2024</v>
      </c>
      <c r="N145" s="1">
        <f t="shared" si="7"/>
        <v>45605</v>
      </c>
      <c r="O145" t="s">
        <v>32</v>
      </c>
    </row>
    <row r="146" spans="1:15">
      <c r="A146" s="2" t="s">
        <v>701</v>
      </c>
      <c r="B146" t="s">
        <v>702</v>
      </c>
      <c r="C146" t="s">
        <v>703</v>
      </c>
      <c r="D146" s="2" t="s">
        <v>36</v>
      </c>
      <c r="E146" s="2" t="str">
        <f t="shared" si="6"/>
        <v>4</v>
      </c>
      <c r="F146" s="2" t="s">
        <v>36</v>
      </c>
      <c r="G146" t="s">
        <v>704</v>
      </c>
      <c r="H146" s="2" t="s">
        <v>705</v>
      </c>
      <c r="I146" s="3" t="str" cm="1">
        <f t="array" ref="I146">_xlfn.IFS(VALUE(TRIM(H146))&lt;300,"Short",VALUE(TRIM(H146))&lt;450,"Medium",VALUE(TRIM(H146))&lt;750,"Long",TRUE,"Very Long")</f>
        <v>Medium</v>
      </c>
      <c r="J146" t="s">
        <v>208</v>
      </c>
      <c r="K146" t="str" cm="1">
        <f t="array" ref="K146">_xlfn.IFS(VALUE(TRIM(J146))&lt;0,"BC",VALUE(TRIM(J146))&lt;200,"100",VALUE(TRIM(J146))&lt;800,"700",VALUE(TRIM(J146))&lt;900,"800",VALUE(TRIM(J146))&lt;1000,"900",VALUE(TRIM(J146))&lt;1100,"1000",VALUE(TRIM(J146))&lt;1200,"1100",VALUE(TRIM(J146))&lt;1300,"1200",VALUE(TRIM(J146))&lt;1400,"1300",VALUE(TRIM(J146))&lt;1500,"1400",VALUE(TRIM(J146))&lt;1600,"1500",VALUE(TRIM(J146))&lt;1700,"1600",VALUE(TRIM(J146))&lt;1800,"1700",VALUE(TRIM(J146))&lt;1900,"1800",VALUE(TRIM(J146))&lt;2000,"1900",VALUE(TRIM(J146))&lt;2100,"2000")</f>
        <v>2000</v>
      </c>
      <c r="L146" s="1">
        <v>45595</v>
      </c>
      <c r="M146" s="1" t="str">
        <f t="shared" si="8"/>
        <v>10/2024</v>
      </c>
      <c r="N146" s="1">
        <f t="shared" si="7"/>
        <v>45595</v>
      </c>
      <c r="O146" t="s">
        <v>32</v>
      </c>
    </row>
    <row r="147" spans="1:15">
      <c r="A147" s="2" t="s">
        <v>706</v>
      </c>
      <c r="B147" t="s">
        <v>707</v>
      </c>
      <c r="C147" t="s">
        <v>708</v>
      </c>
      <c r="D147" s="2" t="s">
        <v>18</v>
      </c>
      <c r="E147" s="2" t="str">
        <f t="shared" si="6"/>
        <v>no rating</v>
      </c>
      <c r="F147" s="2" t="s">
        <v>43</v>
      </c>
      <c r="G147" t="s">
        <v>275</v>
      </c>
      <c r="H147" s="2" t="s">
        <v>243</v>
      </c>
      <c r="I147" s="3" t="str" cm="1">
        <f t="array" ref="I147">_xlfn.IFS(VALUE(TRIM(H147))&lt;300,"Short",VALUE(TRIM(H147))&lt;450,"Medium",VALUE(TRIM(H147))&lt;750,"Long",TRUE,"Very Long")</f>
        <v>Short</v>
      </c>
      <c r="J147" t="s">
        <v>709</v>
      </c>
      <c r="K147" t="str" cm="1">
        <f t="array" ref="K147">_xlfn.IFS(VALUE(TRIM(J147))&lt;0,"BC",VALUE(TRIM(J147))&lt;200,"100",VALUE(TRIM(J147))&lt;800,"700",VALUE(TRIM(J147))&lt;900,"800",VALUE(TRIM(J147))&lt;1000,"900",VALUE(TRIM(J147))&lt;1100,"1000",VALUE(TRIM(J147))&lt;1200,"1100",VALUE(TRIM(J147))&lt;1300,"1200",VALUE(TRIM(J147))&lt;1400,"1300",VALUE(TRIM(J147))&lt;1500,"1400",VALUE(TRIM(J147))&lt;1600,"1500",VALUE(TRIM(J147))&lt;1700,"1600",VALUE(TRIM(J147))&lt;1800,"1700",VALUE(TRIM(J147))&lt;1900,"1800",VALUE(TRIM(J147))&lt;2000,"1900",VALUE(TRIM(J147))&lt;2100,"2000")</f>
        <v>1900</v>
      </c>
      <c r="M147" s="1" t="str">
        <f t="shared" si="8"/>
        <v/>
      </c>
      <c r="N147" s="1" t="str">
        <f t="shared" si="7"/>
        <v>not read</v>
      </c>
      <c r="O147" t="s">
        <v>47</v>
      </c>
    </row>
    <row r="148" spans="1:15">
      <c r="A148" s="2" t="s">
        <v>710</v>
      </c>
      <c r="B148" t="s">
        <v>711</v>
      </c>
      <c r="C148" t="s">
        <v>712</v>
      </c>
      <c r="D148" s="2" t="s">
        <v>36</v>
      </c>
      <c r="E148" s="2" t="str">
        <f t="shared" si="6"/>
        <v>4</v>
      </c>
      <c r="F148" s="2" t="s">
        <v>178</v>
      </c>
      <c r="G148" t="s">
        <v>281</v>
      </c>
      <c r="H148" s="2" t="s">
        <v>204</v>
      </c>
      <c r="I148" s="3" t="str" cm="1">
        <f t="array" ref="I148">_xlfn.IFS(VALUE(TRIM(H148))&lt;300,"Short",VALUE(TRIM(H148))&lt;450,"Medium",VALUE(TRIM(H148))&lt;750,"Long",TRUE,"Very Long")</f>
        <v>Short</v>
      </c>
      <c r="J148" t="s">
        <v>200</v>
      </c>
      <c r="K148" t="str" cm="1">
        <f t="array" ref="K148">_xlfn.IFS(VALUE(TRIM(J148))&lt;0,"BC",VALUE(TRIM(J148))&lt;200,"100",VALUE(TRIM(J148))&lt;800,"700",VALUE(TRIM(J148))&lt;900,"800",VALUE(TRIM(J148))&lt;1000,"900",VALUE(TRIM(J148))&lt;1100,"1000",VALUE(TRIM(J148))&lt;1200,"1100",VALUE(TRIM(J148))&lt;1300,"1200",VALUE(TRIM(J148))&lt;1400,"1300",VALUE(TRIM(J148))&lt;1500,"1400",VALUE(TRIM(J148))&lt;1600,"1500",VALUE(TRIM(J148))&lt;1700,"1600",VALUE(TRIM(J148))&lt;1800,"1700",VALUE(TRIM(J148))&lt;1900,"1800",VALUE(TRIM(J148))&lt;2000,"1900",VALUE(TRIM(J148))&lt;2100,"2000")</f>
        <v>2000</v>
      </c>
      <c r="L148" s="1">
        <v>43891</v>
      </c>
      <c r="M148" s="1" t="str">
        <f t="shared" si="8"/>
        <v>03/2020</v>
      </c>
      <c r="N148" s="1">
        <f t="shared" si="7"/>
        <v>43891</v>
      </c>
      <c r="O148" t="s">
        <v>32</v>
      </c>
    </row>
    <row r="149" spans="1:15">
      <c r="A149" s="2" t="s">
        <v>713</v>
      </c>
      <c r="B149" t="s">
        <v>714</v>
      </c>
      <c r="C149" t="s">
        <v>715</v>
      </c>
      <c r="D149" s="2" t="s">
        <v>18</v>
      </c>
      <c r="E149" s="2" t="str">
        <f t="shared" si="6"/>
        <v>no rating</v>
      </c>
      <c r="F149" s="2" t="s">
        <v>154</v>
      </c>
      <c r="G149" t="s">
        <v>108</v>
      </c>
      <c r="H149" s="2" t="s">
        <v>716</v>
      </c>
      <c r="I149" s="3" t="str" cm="1">
        <f t="array" ref="I149">_xlfn.IFS(VALUE(TRIM(H149))&lt;300,"Short",VALUE(TRIM(H149))&lt;450,"Medium",VALUE(TRIM(H149))&lt;750,"Long",TRUE,"Very Long")</f>
        <v>Short</v>
      </c>
      <c r="J149" t="s">
        <v>139</v>
      </c>
      <c r="K149" t="str" cm="1">
        <f t="array" ref="K149">_xlfn.IFS(VALUE(TRIM(J149))&lt;0,"BC",VALUE(TRIM(J149))&lt;200,"100",VALUE(TRIM(J149))&lt;800,"700",VALUE(TRIM(J149))&lt;900,"800",VALUE(TRIM(J149))&lt;1000,"900",VALUE(TRIM(J149))&lt;1100,"1000",VALUE(TRIM(J149))&lt;1200,"1100",VALUE(TRIM(J149))&lt;1300,"1200",VALUE(TRIM(J149))&lt;1400,"1300",VALUE(TRIM(J149))&lt;1500,"1400",VALUE(TRIM(J149))&lt;1600,"1500",VALUE(TRIM(J149))&lt;1700,"1600",VALUE(TRIM(J149))&lt;1800,"1700",VALUE(TRIM(J149))&lt;1900,"1800",VALUE(TRIM(J149))&lt;2000,"1900",VALUE(TRIM(J149))&lt;2100,"2000")</f>
        <v>2000</v>
      </c>
      <c r="M149" s="1" t="str">
        <f t="shared" si="8"/>
        <v/>
      </c>
      <c r="N149" s="1" t="str">
        <f t="shared" si="7"/>
        <v>not read</v>
      </c>
      <c r="O149" t="s">
        <v>47</v>
      </c>
    </row>
    <row r="150" spans="1:15">
      <c r="A150" s="2" t="s">
        <v>717</v>
      </c>
      <c r="B150" t="s">
        <v>718</v>
      </c>
      <c r="C150" t="s">
        <v>719</v>
      </c>
      <c r="D150" s="2" t="s">
        <v>18</v>
      </c>
      <c r="E150" s="2" t="str">
        <f t="shared" si="6"/>
        <v>no rating</v>
      </c>
      <c r="F150" s="2" t="s">
        <v>43</v>
      </c>
      <c r="G150" t="s">
        <v>720</v>
      </c>
      <c r="H150" s="2" t="s">
        <v>721</v>
      </c>
      <c r="I150" s="3" t="str" cm="1">
        <f t="array" ref="I150">_xlfn.IFS(VALUE(TRIM(H150))&lt;300,"Short",VALUE(TRIM(H150))&lt;450,"Medium",VALUE(TRIM(H150))&lt;750,"Long",TRUE,"Very Long")</f>
        <v>Long</v>
      </c>
      <c r="J150" t="s">
        <v>46</v>
      </c>
      <c r="K150" t="str" cm="1">
        <f t="array" ref="K150">_xlfn.IFS(VALUE(TRIM(J150))&lt;0,"BC",VALUE(TRIM(J150))&lt;200,"100",VALUE(TRIM(J150))&lt;800,"700",VALUE(TRIM(J150))&lt;900,"800",VALUE(TRIM(J150))&lt;1000,"900",VALUE(TRIM(J150))&lt;1100,"1000",VALUE(TRIM(J150))&lt;1200,"1100",VALUE(TRIM(J150))&lt;1300,"1200",VALUE(TRIM(J150))&lt;1400,"1300",VALUE(TRIM(J150))&lt;1500,"1400",VALUE(TRIM(J150))&lt;1600,"1500",VALUE(TRIM(J150))&lt;1700,"1600",VALUE(TRIM(J150))&lt;1800,"1700",VALUE(TRIM(J150))&lt;1900,"1800",VALUE(TRIM(J150))&lt;2000,"1900",VALUE(TRIM(J150))&lt;2100,"2000")</f>
        <v>2000</v>
      </c>
      <c r="M150" s="1" t="str">
        <f t="shared" si="8"/>
        <v/>
      </c>
      <c r="N150" s="1" t="str">
        <f t="shared" si="7"/>
        <v>not read</v>
      </c>
      <c r="O150" t="s">
        <v>47</v>
      </c>
    </row>
    <row r="151" spans="1:15">
      <c r="A151" s="2" t="s">
        <v>722</v>
      </c>
      <c r="B151" t="s">
        <v>723</v>
      </c>
      <c r="C151" t="s">
        <v>724</v>
      </c>
      <c r="D151" s="2" t="s">
        <v>18</v>
      </c>
      <c r="E151" s="2" t="str">
        <f t="shared" si="6"/>
        <v>no rating</v>
      </c>
      <c r="F151" s="2" t="s">
        <v>69</v>
      </c>
      <c r="G151" t="s">
        <v>20</v>
      </c>
      <c r="H151" s="2" t="s">
        <v>129</v>
      </c>
      <c r="I151" s="3" t="str" cm="1">
        <f t="array" ref="I151">_xlfn.IFS(VALUE(TRIM(H151))&lt;300,"Short",VALUE(TRIM(H151))&lt;450,"Medium",VALUE(TRIM(H151))&lt;750,"Long",TRUE,"Very Long")</f>
        <v>Short</v>
      </c>
      <c r="J151" t="s">
        <v>725</v>
      </c>
      <c r="K151" t="str" cm="1">
        <f t="array" ref="K151">_xlfn.IFS(VALUE(TRIM(J151))&lt;0,"BC",VALUE(TRIM(J151))&lt;200,"100",VALUE(TRIM(J151))&lt;800,"700",VALUE(TRIM(J151))&lt;900,"800",VALUE(TRIM(J151))&lt;1000,"900",VALUE(TRIM(J151))&lt;1100,"1000",VALUE(TRIM(J151))&lt;1200,"1100",VALUE(TRIM(J151))&lt;1300,"1200",VALUE(TRIM(J151))&lt;1400,"1300",VALUE(TRIM(J151))&lt;1500,"1400",VALUE(TRIM(J151))&lt;1600,"1500",VALUE(TRIM(J151))&lt;1700,"1600",VALUE(TRIM(J151))&lt;1800,"1700",VALUE(TRIM(J151))&lt;1900,"1800",VALUE(TRIM(J151))&lt;2000,"1900",VALUE(TRIM(J151))&lt;2100,"2000")</f>
        <v>1900</v>
      </c>
      <c r="M151" s="1" t="str">
        <f t="shared" si="8"/>
        <v/>
      </c>
      <c r="N151" s="1" t="str">
        <f t="shared" si="7"/>
        <v>not read</v>
      </c>
      <c r="O151" t="s">
        <v>47</v>
      </c>
    </row>
    <row r="152" spans="1:15">
      <c r="A152" s="2" t="s">
        <v>726</v>
      </c>
      <c r="B152" t="s">
        <v>727</v>
      </c>
      <c r="C152" t="s">
        <v>728</v>
      </c>
      <c r="D152" s="2" t="s">
        <v>18</v>
      </c>
      <c r="E152" s="2" t="str">
        <f t="shared" si="6"/>
        <v>no rating</v>
      </c>
      <c r="F152" s="2" t="s">
        <v>43</v>
      </c>
      <c r="G152" t="s">
        <v>20</v>
      </c>
      <c r="H152" s="2" t="s">
        <v>729</v>
      </c>
      <c r="I152" s="3" t="str" cm="1">
        <f t="array" ref="I152">_xlfn.IFS(VALUE(TRIM(H152))&lt;300,"Short",VALUE(TRIM(H152))&lt;450,"Medium",VALUE(TRIM(H152))&lt;750,"Long",TRUE,"Very Long")</f>
        <v>Short</v>
      </c>
      <c r="J152" t="s">
        <v>208</v>
      </c>
      <c r="K152" t="str" cm="1">
        <f t="array" ref="K152">_xlfn.IFS(VALUE(TRIM(J152))&lt;0,"BC",VALUE(TRIM(J152))&lt;200,"100",VALUE(TRIM(J152))&lt;800,"700",VALUE(TRIM(J152))&lt;900,"800",VALUE(TRIM(J152))&lt;1000,"900",VALUE(TRIM(J152))&lt;1100,"1000",VALUE(TRIM(J152))&lt;1200,"1100",VALUE(TRIM(J152))&lt;1300,"1200",VALUE(TRIM(J152))&lt;1400,"1300",VALUE(TRIM(J152))&lt;1500,"1400",VALUE(TRIM(J152))&lt;1600,"1500",VALUE(TRIM(J152))&lt;1700,"1600",VALUE(TRIM(J152))&lt;1800,"1700",VALUE(TRIM(J152))&lt;1900,"1800",VALUE(TRIM(J152))&lt;2000,"1900",VALUE(TRIM(J152))&lt;2100,"2000")</f>
        <v>2000</v>
      </c>
      <c r="M152" s="1" t="str">
        <f t="shared" si="8"/>
        <v/>
      </c>
      <c r="N152" s="1" t="str">
        <f t="shared" si="7"/>
        <v>not read</v>
      </c>
      <c r="O152" t="s">
        <v>47</v>
      </c>
    </row>
    <row r="153" spans="1:15">
      <c r="A153" s="2" t="s">
        <v>730</v>
      </c>
      <c r="B153" t="s">
        <v>731</v>
      </c>
      <c r="C153" t="s">
        <v>732</v>
      </c>
      <c r="D153" s="2" t="s">
        <v>18</v>
      </c>
      <c r="E153" s="2" t="str">
        <f t="shared" si="6"/>
        <v>no rating</v>
      </c>
      <c r="F153" s="2" t="s">
        <v>19</v>
      </c>
      <c r="G153" t="s">
        <v>649</v>
      </c>
      <c r="H153" s="2" t="s">
        <v>733</v>
      </c>
      <c r="I153" s="3" t="str" cm="1">
        <f t="array" ref="I153">_xlfn.IFS(VALUE(TRIM(H153))&lt;300,"Short",VALUE(TRIM(H153))&lt;450,"Medium",VALUE(TRIM(H153))&lt;750,"Long",TRUE,"Very Long")</f>
        <v>Long</v>
      </c>
      <c r="J153" t="s">
        <v>622</v>
      </c>
      <c r="K153" t="str" cm="1">
        <f t="array" ref="K153">_xlfn.IFS(VALUE(TRIM(J153))&lt;0,"BC",VALUE(TRIM(J153))&lt;200,"100",VALUE(TRIM(J153))&lt;800,"700",VALUE(TRIM(J153))&lt;900,"800",VALUE(TRIM(J153))&lt;1000,"900",VALUE(TRIM(J153))&lt;1100,"1000",VALUE(TRIM(J153))&lt;1200,"1100",VALUE(TRIM(J153))&lt;1300,"1200",VALUE(TRIM(J153))&lt;1400,"1300",VALUE(TRIM(J153))&lt;1500,"1400",VALUE(TRIM(J153))&lt;1600,"1500",VALUE(TRIM(J153))&lt;1700,"1600",VALUE(TRIM(J153))&lt;1800,"1700",VALUE(TRIM(J153))&lt;1900,"1800",VALUE(TRIM(J153))&lt;2000,"1900",VALUE(TRIM(J153))&lt;2100,"2000")</f>
        <v>1900</v>
      </c>
      <c r="M153" s="1" t="str">
        <f t="shared" si="8"/>
        <v/>
      </c>
      <c r="N153" s="1" t="str">
        <f t="shared" si="7"/>
        <v>not read</v>
      </c>
      <c r="O153" t="s">
        <v>47</v>
      </c>
    </row>
    <row r="154" spans="1:15">
      <c r="A154" s="2" t="s">
        <v>734</v>
      </c>
      <c r="B154" t="s">
        <v>735</v>
      </c>
      <c r="C154" t="s">
        <v>736</v>
      </c>
      <c r="D154" s="2" t="s">
        <v>18</v>
      </c>
      <c r="E154" s="2" t="str">
        <f t="shared" si="6"/>
        <v>no rating</v>
      </c>
      <c r="F154" s="2" t="s">
        <v>89</v>
      </c>
      <c r="G154" t="s">
        <v>737</v>
      </c>
      <c r="H154" s="2" t="s">
        <v>738</v>
      </c>
      <c r="I154" s="3" t="str" cm="1">
        <f t="array" ref="I154">_xlfn.IFS(VALUE(TRIM(H154))&lt;300,"Short",VALUE(TRIM(H154))&lt;450,"Medium",VALUE(TRIM(H154))&lt;750,"Long",TRUE,"Very Long")</f>
        <v>Short</v>
      </c>
      <c r="J154" t="s">
        <v>739</v>
      </c>
      <c r="K154" t="str" cm="1">
        <f t="array" ref="K154">_xlfn.IFS(VALUE(TRIM(J154))&lt;0,"BC",VALUE(TRIM(J154))&lt;200,"100",VALUE(TRIM(J154))&lt;800,"700",VALUE(TRIM(J154))&lt;900,"800",VALUE(TRIM(J154))&lt;1000,"900",VALUE(TRIM(J154))&lt;1100,"1000",VALUE(TRIM(J154))&lt;1200,"1100",VALUE(TRIM(J154))&lt;1300,"1200",VALUE(TRIM(J154))&lt;1400,"1300",VALUE(TRIM(J154))&lt;1500,"1400",VALUE(TRIM(J154))&lt;1600,"1500",VALUE(TRIM(J154))&lt;1700,"1600",VALUE(TRIM(J154))&lt;1800,"1700",VALUE(TRIM(J154))&lt;1900,"1800",VALUE(TRIM(J154))&lt;2000,"1900",VALUE(TRIM(J154))&lt;2100,"2000")</f>
        <v>1900</v>
      </c>
      <c r="L154" s="1">
        <v>45516</v>
      </c>
      <c r="M154" s="1" t="str">
        <f t="shared" si="8"/>
        <v>08/2024</v>
      </c>
      <c r="N154" s="1">
        <f t="shared" si="7"/>
        <v>45516</v>
      </c>
      <c r="O154" t="s">
        <v>740</v>
      </c>
    </row>
    <row r="155" spans="1:15">
      <c r="A155" s="2" t="s">
        <v>741</v>
      </c>
      <c r="B155" t="s">
        <v>742</v>
      </c>
      <c r="C155" t="s">
        <v>743</v>
      </c>
      <c r="D155" s="2" t="s">
        <v>36</v>
      </c>
      <c r="E155" s="2" t="str">
        <f t="shared" si="6"/>
        <v>4</v>
      </c>
      <c r="F155" s="2" t="s">
        <v>36</v>
      </c>
      <c r="G155" t="s">
        <v>125</v>
      </c>
      <c r="H155" s="2" t="s">
        <v>600</v>
      </c>
      <c r="I155" s="3" t="str" cm="1">
        <f t="array" ref="I155">_xlfn.IFS(VALUE(TRIM(H155))&lt;300,"Short",VALUE(TRIM(H155))&lt;450,"Medium",VALUE(TRIM(H155))&lt;750,"Long",TRUE,"Very Long")</f>
        <v>Short</v>
      </c>
      <c r="J155" t="s">
        <v>384</v>
      </c>
      <c r="K155" t="str" cm="1">
        <f t="array" ref="K155">_xlfn.IFS(VALUE(TRIM(J155))&lt;0,"BC",VALUE(TRIM(J155))&lt;200,"100",VALUE(TRIM(J155))&lt;800,"700",VALUE(TRIM(J155))&lt;900,"800",VALUE(TRIM(J155))&lt;1000,"900",VALUE(TRIM(J155))&lt;1100,"1000",VALUE(TRIM(J155))&lt;1200,"1100",VALUE(TRIM(J155))&lt;1300,"1200",VALUE(TRIM(J155))&lt;1400,"1300",VALUE(TRIM(J155))&lt;1500,"1400",VALUE(TRIM(J155))&lt;1600,"1500",VALUE(TRIM(J155))&lt;1700,"1600",VALUE(TRIM(J155))&lt;1800,"1700",VALUE(TRIM(J155))&lt;1900,"1800",VALUE(TRIM(J155))&lt;2000,"1900",VALUE(TRIM(J155))&lt;2100,"2000")</f>
        <v>2000</v>
      </c>
      <c r="L155" s="1">
        <v>45513</v>
      </c>
      <c r="M155" s="1" t="str">
        <f t="shared" si="8"/>
        <v>08/2024</v>
      </c>
      <c r="N155" s="1">
        <f t="shared" si="7"/>
        <v>45513</v>
      </c>
      <c r="O155" t="s">
        <v>32</v>
      </c>
    </row>
    <row r="156" spans="1:15">
      <c r="A156" s="2" t="s">
        <v>744</v>
      </c>
      <c r="B156" t="s">
        <v>745</v>
      </c>
      <c r="C156" t="s">
        <v>746</v>
      </c>
      <c r="D156" s="2" t="s">
        <v>18</v>
      </c>
      <c r="E156" s="2" t="str">
        <f t="shared" si="6"/>
        <v>no rating</v>
      </c>
      <c r="F156" s="2" t="s">
        <v>28</v>
      </c>
      <c r="G156" t="s">
        <v>108</v>
      </c>
      <c r="H156" s="2" t="s">
        <v>271</v>
      </c>
      <c r="I156" s="3" t="str" cm="1">
        <f t="array" ref="I156">_xlfn.IFS(VALUE(TRIM(H156))&lt;300,"Short",VALUE(TRIM(H156))&lt;450,"Medium",VALUE(TRIM(H156))&lt;750,"Long",TRUE,"Very Long")</f>
        <v>Medium</v>
      </c>
      <c r="J156" t="s">
        <v>259</v>
      </c>
      <c r="K156" t="str" cm="1">
        <f t="array" ref="K156">_xlfn.IFS(VALUE(TRIM(J156))&lt;0,"BC",VALUE(TRIM(J156))&lt;200,"100",VALUE(TRIM(J156))&lt;800,"700",VALUE(TRIM(J156))&lt;900,"800",VALUE(TRIM(J156))&lt;1000,"900",VALUE(TRIM(J156))&lt;1100,"1000",VALUE(TRIM(J156))&lt;1200,"1100",VALUE(TRIM(J156))&lt;1300,"1200",VALUE(TRIM(J156))&lt;1400,"1300",VALUE(TRIM(J156))&lt;1500,"1400",VALUE(TRIM(J156))&lt;1600,"1500",VALUE(TRIM(J156))&lt;1700,"1600",VALUE(TRIM(J156))&lt;1800,"1700",VALUE(TRIM(J156))&lt;1900,"1800",VALUE(TRIM(J156))&lt;2000,"1900",VALUE(TRIM(J156))&lt;2100,"2000")</f>
        <v>2000</v>
      </c>
      <c r="M156" s="1" t="str">
        <f t="shared" si="8"/>
        <v/>
      </c>
      <c r="N156" s="1" t="str">
        <f t="shared" si="7"/>
        <v>not read</v>
      </c>
      <c r="O156" t="s">
        <v>47</v>
      </c>
    </row>
    <row r="157" spans="1:15">
      <c r="A157" s="2" t="s">
        <v>747</v>
      </c>
      <c r="B157" t="s">
        <v>748</v>
      </c>
      <c r="C157" t="s">
        <v>749</v>
      </c>
      <c r="D157" s="2" t="s">
        <v>18</v>
      </c>
      <c r="E157" s="2" t="str">
        <f t="shared" si="6"/>
        <v>no rating</v>
      </c>
      <c r="F157" s="2" t="s">
        <v>82</v>
      </c>
      <c r="G157" t="s">
        <v>70</v>
      </c>
      <c r="H157" s="2" t="s">
        <v>750</v>
      </c>
      <c r="I157" s="3" t="str" cm="1">
        <f t="array" ref="I157">_xlfn.IFS(VALUE(TRIM(H157))&lt;300,"Short",VALUE(TRIM(H157))&lt;450,"Medium",VALUE(TRIM(H157))&lt;750,"Long",TRUE,"Very Long")</f>
        <v>Short</v>
      </c>
      <c r="J157" t="s">
        <v>751</v>
      </c>
      <c r="K157" t="str" cm="1">
        <f t="array" ref="K157">_xlfn.IFS(VALUE(TRIM(J157))&lt;0,"BC",VALUE(TRIM(J157))&lt;200,"100",VALUE(TRIM(J157))&lt;800,"700",VALUE(TRIM(J157))&lt;900,"800",VALUE(TRIM(J157))&lt;1000,"900",VALUE(TRIM(J157))&lt;1100,"1000",VALUE(TRIM(J157))&lt;1200,"1100",VALUE(TRIM(J157))&lt;1300,"1200",VALUE(TRIM(J157))&lt;1400,"1300",VALUE(TRIM(J157))&lt;1500,"1400",VALUE(TRIM(J157))&lt;1600,"1500",VALUE(TRIM(J157))&lt;1700,"1600",VALUE(TRIM(J157))&lt;1800,"1700",VALUE(TRIM(J157))&lt;1900,"1800",VALUE(TRIM(J157))&lt;2000,"1900",VALUE(TRIM(J157))&lt;2100,"2000")</f>
        <v>1900</v>
      </c>
      <c r="M157" s="1" t="str">
        <f t="shared" si="8"/>
        <v/>
      </c>
      <c r="N157" s="1" t="str">
        <f t="shared" si="7"/>
        <v>not read</v>
      </c>
      <c r="O157" t="s">
        <v>47</v>
      </c>
    </row>
    <row r="158" spans="1:15">
      <c r="A158" s="2" t="s">
        <v>752</v>
      </c>
      <c r="B158" t="s">
        <v>753</v>
      </c>
      <c r="C158" t="s">
        <v>749</v>
      </c>
      <c r="D158" s="2" t="s">
        <v>18</v>
      </c>
      <c r="E158" s="2" t="str">
        <f t="shared" si="6"/>
        <v>no rating</v>
      </c>
      <c r="F158" s="2" t="s">
        <v>19</v>
      </c>
      <c r="G158" t="s">
        <v>70</v>
      </c>
      <c r="H158" s="2" t="s">
        <v>686</v>
      </c>
      <c r="I158" s="3" t="str" cm="1">
        <f t="array" ref="I158">_xlfn.IFS(VALUE(TRIM(H158))&lt;300,"Short",VALUE(TRIM(H158))&lt;450,"Medium",VALUE(TRIM(H158))&lt;750,"Long",TRUE,"Very Long")</f>
        <v>Short</v>
      </c>
      <c r="J158" t="s">
        <v>249</v>
      </c>
      <c r="K158" t="str" cm="1">
        <f t="array" ref="K158">_xlfn.IFS(VALUE(TRIM(J158))&lt;0,"BC",VALUE(TRIM(J158))&lt;200,"100",VALUE(TRIM(J158))&lt;800,"700",VALUE(TRIM(J158))&lt;900,"800",VALUE(TRIM(J158))&lt;1000,"900",VALUE(TRIM(J158))&lt;1100,"1000",VALUE(TRIM(J158))&lt;1200,"1100",VALUE(TRIM(J158))&lt;1300,"1200",VALUE(TRIM(J158))&lt;1400,"1300",VALUE(TRIM(J158))&lt;1500,"1400",VALUE(TRIM(J158))&lt;1600,"1500",VALUE(TRIM(J158))&lt;1700,"1600",VALUE(TRIM(J158))&lt;1800,"1700",VALUE(TRIM(J158))&lt;1900,"1800",VALUE(TRIM(J158))&lt;2000,"1900",VALUE(TRIM(J158))&lt;2100,"2000")</f>
        <v>1900</v>
      </c>
      <c r="M158" s="1" t="str">
        <f t="shared" si="8"/>
        <v/>
      </c>
      <c r="N158" s="1" t="str">
        <f t="shared" si="7"/>
        <v>not read</v>
      </c>
      <c r="O158" t="s">
        <v>47</v>
      </c>
    </row>
    <row r="159" spans="1:15">
      <c r="A159" s="2" t="s">
        <v>754</v>
      </c>
      <c r="B159" t="s">
        <v>755</v>
      </c>
      <c r="C159" t="s">
        <v>433</v>
      </c>
      <c r="D159" s="2" t="s">
        <v>18</v>
      </c>
      <c r="E159" s="2" t="str">
        <f t="shared" si="6"/>
        <v>no rating</v>
      </c>
      <c r="F159" s="2" t="s">
        <v>154</v>
      </c>
      <c r="G159" t="s">
        <v>465</v>
      </c>
      <c r="H159" s="2" t="s">
        <v>756</v>
      </c>
      <c r="I159" s="3" t="str" cm="1">
        <f t="array" ref="I159">_xlfn.IFS(VALUE(TRIM(H159))&lt;300,"Short",VALUE(TRIM(H159))&lt;450,"Medium",VALUE(TRIM(H159))&lt;750,"Long",TRUE,"Very Long")</f>
        <v>Short</v>
      </c>
      <c r="J159" t="s">
        <v>757</v>
      </c>
      <c r="K159" t="str" cm="1">
        <f t="array" ref="K159">_xlfn.IFS(VALUE(TRIM(J159))&lt;0,"BC",VALUE(TRIM(J159))&lt;200,"100",VALUE(TRIM(J159))&lt;800,"700",VALUE(TRIM(J159))&lt;900,"800",VALUE(TRIM(J159))&lt;1000,"900",VALUE(TRIM(J159))&lt;1100,"1000",VALUE(TRIM(J159))&lt;1200,"1100",VALUE(TRIM(J159))&lt;1300,"1200",VALUE(TRIM(J159))&lt;1400,"1300",VALUE(TRIM(J159))&lt;1500,"1400",VALUE(TRIM(J159))&lt;1600,"1500",VALUE(TRIM(J159))&lt;1700,"1600",VALUE(TRIM(J159))&lt;1800,"1700",VALUE(TRIM(J159))&lt;1900,"1800",VALUE(TRIM(J159))&lt;2000,"1900",VALUE(TRIM(J159))&lt;2100,"2000")</f>
        <v>1900</v>
      </c>
      <c r="M159" s="1" t="str">
        <f t="shared" si="8"/>
        <v/>
      </c>
      <c r="N159" s="1" t="str">
        <f t="shared" si="7"/>
        <v>not read</v>
      </c>
      <c r="O159" t="s">
        <v>47</v>
      </c>
    </row>
    <row r="160" spans="1:15">
      <c r="A160" s="2" t="s">
        <v>758</v>
      </c>
      <c r="B160" t="s">
        <v>759</v>
      </c>
      <c r="C160" t="s">
        <v>760</v>
      </c>
      <c r="D160" s="2" t="s">
        <v>27</v>
      </c>
      <c r="E160" s="2" t="str">
        <f t="shared" si="6"/>
        <v>3</v>
      </c>
      <c r="F160" s="2" t="s">
        <v>154</v>
      </c>
      <c r="G160" t="s">
        <v>556</v>
      </c>
      <c r="H160" s="2" t="s">
        <v>761</v>
      </c>
      <c r="I160" s="3" t="str" cm="1">
        <f t="array" ref="I160">_xlfn.IFS(VALUE(TRIM(H160))&lt;300,"Short",VALUE(TRIM(H160))&lt;450,"Medium",VALUE(TRIM(H160))&lt;750,"Long",TRUE,"Very Long")</f>
        <v>Short</v>
      </c>
      <c r="J160" t="s">
        <v>762</v>
      </c>
      <c r="K160" t="str" cm="1">
        <f t="array" ref="K160">_xlfn.IFS(VALUE(TRIM(J160))&lt;0,"BC",VALUE(TRIM(J160))&lt;200,"100",VALUE(TRIM(J160))&lt;800,"700",VALUE(TRIM(J160))&lt;900,"800",VALUE(TRIM(J160))&lt;1000,"900",VALUE(TRIM(J160))&lt;1100,"1000",VALUE(TRIM(J160))&lt;1200,"1100",VALUE(TRIM(J160))&lt;1300,"1200",VALUE(TRIM(J160))&lt;1400,"1300",VALUE(TRIM(J160))&lt;1500,"1400",VALUE(TRIM(J160))&lt;1600,"1500",VALUE(TRIM(J160))&lt;1700,"1600",VALUE(TRIM(J160))&lt;1800,"1700",VALUE(TRIM(J160))&lt;1900,"1800",VALUE(TRIM(J160))&lt;2000,"1900",VALUE(TRIM(J160))&lt;2100,"2000")</f>
        <v>1900</v>
      </c>
      <c r="L160" s="1">
        <v>45497</v>
      </c>
      <c r="M160" s="1" t="str">
        <f t="shared" si="8"/>
        <v>07/2024</v>
      </c>
      <c r="N160" s="1">
        <f t="shared" si="7"/>
        <v>45497</v>
      </c>
      <c r="O160" t="s">
        <v>32</v>
      </c>
    </row>
    <row r="161" spans="1:15">
      <c r="A161" s="2" t="s">
        <v>763</v>
      </c>
      <c r="B161" t="s">
        <v>764</v>
      </c>
      <c r="C161" t="s">
        <v>765</v>
      </c>
      <c r="D161" s="2" t="s">
        <v>18</v>
      </c>
      <c r="E161" s="2" t="str">
        <f t="shared" si="6"/>
        <v>no rating</v>
      </c>
      <c r="F161" s="2" t="s">
        <v>19</v>
      </c>
      <c r="G161" t="s">
        <v>70</v>
      </c>
      <c r="H161" s="2" t="s">
        <v>445</v>
      </c>
      <c r="I161" s="3" t="str" cm="1">
        <f t="array" ref="I161">_xlfn.IFS(VALUE(TRIM(H161))&lt;300,"Short",VALUE(TRIM(H161))&lt;450,"Medium",VALUE(TRIM(H161))&lt;750,"Long",TRUE,"Very Long")</f>
        <v>Medium</v>
      </c>
      <c r="J161" t="s">
        <v>766</v>
      </c>
      <c r="K161" t="str" cm="1">
        <f t="array" ref="K161">_xlfn.IFS(VALUE(TRIM(J161))&lt;0,"BC",VALUE(TRIM(J161))&lt;200,"100",VALUE(TRIM(J161))&lt;800,"700",VALUE(TRIM(J161))&lt;900,"800",VALUE(TRIM(J161))&lt;1000,"900",VALUE(TRIM(J161))&lt;1100,"1000",VALUE(TRIM(J161))&lt;1200,"1100",VALUE(TRIM(J161))&lt;1300,"1200",VALUE(TRIM(J161))&lt;1400,"1300",VALUE(TRIM(J161))&lt;1500,"1400",VALUE(TRIM(J161))&lt;1600,"1500",VALUE(TRIM(J161))&lt;1700,"1600",VALUE(TRIM(J161))&lt;1800,"1700",VALUE(TRIM(J161))&lt;1900,"1800",VALUE(TRIM(J161))&lt;2000,"1900",VALUE(TRIM(J161))&lt;2100,"2000")</f>
        <v>1900</v>
      </c>
      <c r="M161" s="1" t="str">
        <f t="shared" si="8"/>
        <v/>
      </c>
      <c r="N161" s="1" t="str">
        <f t="shared" si="7"/>
        <v>not read</v>
      </c>
      <c r="O161" t="s">
        <v>47</v>
      </c>
    </row>
    <row r="162" spans="1:15">
      <c r="A162" s="2" t="s">
        <v>767</v>
      </c>
      <c r="B162" t="s">
        <v>768</v>
      </c>
      <c r="C162" t="s">
        <v>769</v>
      </c>
      <c r="D162" s="2" t="s">
        <v>18</v>
      </c>
      <c r="E162" s="2" t="str">
        <f t="shared" si="6"/>
        <v>no rating</v>
      </c>
      <c r="F162" s="2" t="s">
        <v>82</v>
      </c>
      <c r="G162" t="s">
        <v>108</v>
      </c>
      <c r="H162" s="2" t="s">
        <v>770</v>
      </c>
      <c r="I162" s="3" t="str" cm="1">
        <f t="array" ref="I162">_xlfn.IFS(VALUE(TRIM(H162))&lt;300,"Short",VALUE(TRIM(H162))&lt;450,"Medium",VALUE(TRIM(H162))&lt;750,"Long",TRUE,"Very Long")</f>
        <v>Medium</v>
      </c>
      <c r="J162" t="s">
        <v>771</v>
      </c>
      <c r="K162" t="str" cm="1">
        <f t="array" ref="K162">_xlfn.IFS(VALUE(TRIM(J162))&lt;0,"BC",VALUE(TRIM(J162))&lt;200,"100",VALUE(TRIM(J162))&lt;800,"700",VALUE(TRIM(J162))&lt;900,"800",VALUE(TRIM(J162))&lt;1000,"900",VALUE(TRIM(J162))&lt;1100,"1000",VALUE(TRIM(J162))&lt;1200,"1100",VALUE(TRIM(J162))&lt;1300,"1200",VALUE(TRIM(J162))&lt;1400,"1300",VALUE(TRIM(J162))&lt;1500,"1400",VALUE(TRIM(J162))&lt;1600,"1500",VALUE(TRIM(J162))&lt;1700,"1600",VALUE(TRIM(J162))&lt;1800,"1700",VALUE(TRIM(J162))&lt;1900,"1800",VALUE(TRIM(J162))&lt;2000,"1900",VALUE(TRIM(J162))&lt;2100,"2000")</f>
        <v>1900</v>
      </c>
      <c r="M162" s="1" t="str">
        <f t="shared" si="8"/>
        <v/>
      </c>
      <c r="N162" s="1" t="str">
        <f t="shared" si="7"/>
        <v>not read</v>
      </c>
      <c r="O162" t="s">
        <v>47</v>
      </c>
    </row>
    <row r="163" spans="1:15">
      <c r="A163" s="2" t="s">
        <v>772</v>
      </c>
      <c r="B163" t="s">
        <v>773</v>
      </c>
      <c r="C163" t="s">
        <v>774</v>
      </c>
      <c r="D163" s="2" t="s">
        <v>18</v>
      </c>
      <c r="E163" s="2" t="str">
        <f t="shared" si="6"/>
        <v>no rating</v>
      </c>
      <c r="F163" s="2" t="s">
        <v>43</v>
      </c>
      <c r="G163" t="s">
        <v>120</v>
      </c>
      <c r="H163" s="2" t="s">
        <v>775</v>
      </c>
      <c r="I163" s="3" t="str" cm="1">
        <f t="array" ref="I163">_xlfn.IFS(VALUE(TRIM(H163))&lt;300,"Short",VALUE(TRIM(H163))&lt;450,"Medium",VALUE(TRIM(H163))&lt;750,"Long",TRUE,"Very Long")</f>
        <v>Medium</v>
      </c>
      <c r="J163" t="s">
        <v>200</v>
      </c>
      <c r="K163" t="str" cm="1">
        <f t="array" ref="K163">_xlfn.IFS(VALUE(TRIM(J163))&lt;0,"BC",VALUE(TRIM(J163))&lt;200,"100",VALUE(TRIM(J163))&lt;800,"700",VALUE(TRIM(J163))&lt;900,"800",VALUE(TRIM(J163))&lt;1000,"900",VALUE(TRIM(J163))&lt;1100,"1000",VALUE(TRIM(J163))&lt;1200,"1100",VALUE(TRIM(J163))&lt;1300,"1200",VALUE(TRIM(J163))&lt;1400,"1300",VALUE(TRIM(J163))&lt;1500,"1400",VALUE(TRIM(J163))&lt;1600,"1500",VALUE(TRIM(J163))&lt;1700,"1600",VALUE(TRIM(J163))&lt;1800,"1700",VALUE(TRIM(J163))&lt;1900,"1800",VALUE(TRIM(J163))&lt;2000,"1900",VALUE(TRIM(J163))&lt;2100,"2000")</f>
        <v>2000</v>
      </c>
      <c r="M163" s="1" t="str">
        <f t="shared" si="8"/>
        <v/>
      </c>
      <c r="N163" s="1" t="str">
        <f t="shared" si="7"/>
        <v>not read</v>
      </c>
      <c r="O163" t="s">
        <v>47</v>
      </c>
    </row>
    <row r="164" spans="1:15">
      <c r="A164" s="2" t="s">
        <v>776</v>
      </c>
      <c r="B164" t="s">
        <v>777</v>
      </c>
      <c r="C164" t="s">
        <v>778</v>
      </c>
      <c r="D164" s="2" t="s">
        <v>18</v>
      </c>
      <c r="E164" s="2" t="str">
        <f t="shared" si="6"/>
        <v>no rating</v>
      </c>
      <c r="F164" s="2" t="s">
        <v>43</v>
      </c>
      <c r="G164" t="s">
        <v>720</v>
      </c>
      <c r="H164" s="2" t="s">
        <v>779</v>
      </c>
      <c r="I164" s="3" t="str" cm="1">
        <f t="array" ref="I164">_xlfn.IFS(VALUE(TRIM(H164))&lt;300,"Short",VALUE(TRIM(H164))&lt;450,"Medium",VALUE(TRIM(H164))&lt;750,"Long",TRUE,"Very Long")</f>
        <v>Short</v>
      </c>
      <c r="J164" t="s">
        <v>780</v>
      </c>
      <c r="K164" t="str" cm="1">
        <f t="array" ref="K164">_xlfn.IFS(VALUE(TRIM(J164))&lt;0,"BC",VALUE(TRIM(J164))&lt;200,"100",VALUE(TRIM(J164))&lt;800,"700",VALUE(TRIM(J164))&lt;900,"800",VALUE(TRIM(J164))&lt;1000,"900",VALUE(TRIM(J164))&lt;1100,"1000",VALUE(TRIM(J164))&lt;1200,"1100",VALUE(TRIM(J164))&lt;1300,"1200",VALUE(TRIM(J164))&lt;1400,"1300",VALUE(TRIM(J164))&lt;1500,"1400",VALUE(TRIM(J164))&lt;1600,"1500",VALUE(TRIM(J164))&lt;1700,"1600",VALUE(TRIM(J164))&lt;1800,"1700",VALUE(TRIM(J164))&lt;1900,"1800",VALUE(TRIM(J164))&lt;2000,"1900",VALUE(TRIM(J164))&lt;2100,"2000")</f>
        <v>1900</v>
      </c>
      <c r="M164" s="1" t="str">
        <f t="shared" si="8"/>
        <v/>
      </c>
      <c r="N164" s="1" t="str">
        <f t="shared" si="7"/>
        <v>not read</v>
      </c>
      <c r="O164" t="s">
        <v>47</v>
      </c>
    </row>
    <row r="165" spans="1:15">
      <c r="A165" s="2" t="s">
        <v>781</v>
      </c>
      <c r="B165" t="s">
        <v>782</v>
      </c>
      <c r="C165" t="s">
        <v>783</v>
      </c>
      <c r="D165" s="2" t="s">
        <v>18</v>
      </c>
      <c r="E165" s="2" t="str">
        <f t="shared" si="6"/>
        <v>no rating</v>
      </c>
      <c r="F165" s="2" t="s">
        <v>43</v>
      </c>
      <c r="G165" t="s">
        <v>490</v>
      </c>
      <c r="H165" s="2" t="s">
        <v>784</v>
      </c>
      <c r="I165" s="3" t="str" cm="1">
        <f t="array" ref="I165">_xlfn.IFS(VALUE(TRIM(H165))&lt;300,"Short",VALUE(TRIM(H165))&lt;450,"Medium",VALUE(TRIM(H165))&lt;750,"Long",TRUE,"Very Long")</f>
        <v>Short</v>
      </c>
      <c r="J165" t="s">
        <v>116</v>
      </c>
      <c r="K165" t="str" cm="1">
        <f t="array" ref="K165">_xlfn.IFS(VALUE(TRIM(J165))&lt;0,"BC",VALUE(TRIM(J165))&lt;200,"100",VALUE(TRIM(J165))&lt;800,"700",VALUE(TRIM(J165))&lt;900,"800",VALUE(TRIM(J165))&lt;1000,"900",VALUE(TRIM(J165))&lt;1100,"1000",VALUE(TRIM(J165))&lt;1200,"1100",VALUE(TRIM(J165))&lt;1300,"1200",VALUE(TRIM(J165))&lt;1400,"1300",VALUE(TRIM(J165))&lt;1500,"1400",VALUE(TRIM(J165))&lt;1600,"1500",VALUE(TRIM(J165))&lt;1700,"1600",VALUE(TRIM(J165))&lt;1800,"1700",VALUE(TRIM(J165))&lt;1900,"1800",VALUE(TRIM(J165))&lt;2000,"1900",VALUE(TRIM(J165))&lt;2100,"2000")</f>
        <v>1900</v>
      </c>
      <c r="M165" s="1" t="str">
        <f t="shared" si="8"/>
        <v/>
      </c>
      <c r="N165" s="1" t="str">
        <f t="shared" si="7"/>
        <v>not read</v>
      </c>
      <c r="O165" t="s">
        <v>47</v>
      </c>
    </row>
    <row r="166" spans="1:15">
      <c r="A166" s="2" t="s">
        <v>785</v>
      </c>
      <c r="B166" t="s">
        <v>786</v>
      </c>
      <c r="C166" t="s">
        <v>787</v>
      </c>
      <c r="D166" s="2" t="s">
        <v>18</v>
      </c>
      <c r="E166" s="2" t="str">
        <f t="shared" si="6"/>
        <v>no rating</v>
      </c>
      <c r="F166" s="2" t="s">
        <v>19</v>
      </c>
      <c r="G166" t="s">
        <v>275</v>
      </c>
      <c r="H166" s="2" t="s">
        <v>167</v>
      </c>
      <c r="I166" s="3" t="str" cm="1">
        <f t="array" ref="I166">_xlfn.IFS(VALUE(TRIM(H166))&lt;300,"Short",VALUE(TRIM(H166))&lt;450,"Medium",VALUE(TRIM(H166))&lt;750,"Long",TRUE,"Very Long")</f>
        <v>Short</v>
      </c>
      <c r="J166" t="s">
        <v>180</v>
      </c>
      <c r="K166" t="str" cm="1">
        <f t="array" ref="K166">_xlfn.IFS(VALUE(TRIM(J166))&lt;0,"BC",VALUE(TRIM(J166))&lt;200,"100",VALUE(TRIM(J166))&lt;800,"700",VALUE(TRIM(J166))&lt;900,"800",VALUE(TRIM(J166))&lt;1000,"900",VALUE(TRIM(J166))&lt;1100,"1000",VALUE(TRIM(J166))&lt;1200,"1100",VALUE(TRIM(J166))&lt;1300,"1200",VALUE(TRIM(J166))&lt;1400,"1300",VALUE(TRIM(J166))&lt;1500,"1400",VALUE(TRIM(J166))&lt;1600,"1500",VALUE(TRIM(J166))&lt;1700,"1600",VALUE(TRIM(J166))&lt;1800,"1700",VALUE(TRIM(J166))&lt;1900,"1800",VALUE(TRIM(J166))&lt;2000,"1900",VALUE(TRIM(J166))&lt;2100,"2000")</f>
        <v>1900</v>
      </c>
      <c r="M166" s="1" t="str">
        <f t="shared" si="8"/>
        <v/>
      </c>
      <c r="N166" s="1" t="str">
        <f t="shared" si="7"/>
        <v>not read</v>
      </c>
      <c r="O166" t="s">
        <v>47</v>
      </c>
    </row>
    <row r="167" spans="1:15">
      <c r="A167" s="2" t="s">
        <v>788</v>
      </c>
      <c r="B167" t="s">
        <v>789</v>
      </c>
      <c r="C167" t="s">
        <v>790</v>
      </c>
      <c r="D167" s="2" t="s">
        <v>18</v>
      </c>
      <c r="E167" s="2" t="str">
        <f t="shared" si="6"/>
        <v>no rating</v>
      </c>
      <c r="F167" s="2" t="s">
        <v>19</v>
      </c>
      <c r="G167" t="s">
        <v>360</v>
      </c>
      <c r="H167" s="2" t="s">
        <v>791</v>
      </c>
      <c r="I167" s="3" t="str" cm="1">
        <f t="array" ref="I167">_xlfn.IFS(VALUE(TRIM(H167))&lt;300,"Short",VALUE(TRIM(H167))&lt;450,"Medium",VALUE(TRIM(H167))&lt;750,"Long",TRUE,"Very Long")</f>
        <v>Short</v>
      </c>
      <c r="J167" t="s">
        <v>185</v>
      </c>
      <c r="K167" t="str" cm="1">
        <f t="array" ref="K167">_xlfn.IFS(VALUE(TRIM(J167))&lt;0,"BC",VALUE(TRIM(J167))&lt;200,"100",VALUE(TRIM(J167))&lt;800,"700",VALUE(TRIM(J167))&lt;900,"800",VALUE(TRIM(J167))&lt;1000,"900",VALUE(TRIM(J167))&lt;1100,"1000",VALUE(TRIM(J167))&lt;1200,"1100",VALUE(TRIM(J167))&lt;1300,"1200",VALUE(TRIM(J167))&lt;1400,"1300",VALUE(TRIM(J167))&lt;1500,"1400",VALUE(TRIM(J167))&lt;1600,"1500",VALUE(TRIM(J167))&lt;1700,"1600",VALUE(TRIM(J167))&lt;1800,"1700",VALUE(TRIM(J167))&lt;1900,"1800",VALUE(TRIM(J167))&lt;2000,"1900",VALUE(TRIM(J167))&lt;2100,"2000")</f>
        <v>1900</v>
      </c>
      <c r="M167" s="1" t="str">
        <f t="shared" si="8"/>
        <v/>
      </c>
      <c r="N167" s="1" t="str">
        <f t="shared" si="7"/>
        <v>not read</v>
      </c>
      <c r="O167" t="s">
        <v>47</v>
      </c>
    </row>
    <row r="168" spans="1:15">
      <c r="A168" s="2" t="s">
        <v>792</v>
      </c>
      <c r="B168" t="s">
        <v>793</v>
      </c>
      <c r="C168" t="s">
        <v>794</v>
      </c>
      <c r="D168" s="2" t="s">
        <v>18</v>
      </c>
      <c r="E168" s="2" t="str">
        <f t="shared" si="6"/>
        <v>no rating</v>
      </c>
      <c r="F168" s="2" t="s">
        <v>89</v>
      </c>
      <c r="G168" t="s">
        <v>20</v>
      </c>
      <c r="H168" s="2" t="s">
        <v>795</v>
      </c>
      <c r="I168" s="3" t="str" cm="1">
        <f t="array" ref="I168">_xlfn.IFS(VALUE(TRIM(H168))&lt;300,"Short",VALUE(TRIM(H168))&lt;450,"Medium",VALUE(TRIM(H168))&lt;750,"Long",TRUE,"Very Long")</f>
        <v>Short</v>
      </c>
      <c r="J168" t="s">
        <v>796</v>
      </c>
      <c r="K168" t="str" cm="1">
        <f t="array" ref="K168">_xlfn.IFS(VALUE(TRIM(J168))&lt;0,"BC",VALUE(TRIM(J168))&lt;200,"100",VALUE(TRIM(J168))&lt;800,"700",VALUE(TRIM(J168))&lt;900,"800",VALUE(TRIM(J168))&lt;1000,"900",VALUE(TRIM(J168))&lt;1100,"1000",VALUE(TRIM(J168))&lt;1200,"1100",VALUE(TRIM(J168))&lt;1300,"1200",VALUE(TRIM(J168))&lt;1400,"1300",VALUE(TRIM(J168))&lt;1500,"1400",VALUE(TRIM(J168))&lt;1600,"1500",VALUE(TRIM(J168))&lt;1700,"1600",VALUE(TRIM(J168))&lt;1800,"1700",VALUE(TRIM(J168))&lt;1900,"1800",VALUE(TRIM(J168))&lt;2000,"1900",VALUE(TRIM(J168))&lt;2100,"2000")</f>
        <v>1800</v>
      </c>
      <c r="M168" s="1" t="str">
        <f t="shared" si="8"/>
        <v/>
      </c>
      <c r="N168" s="1" t="str">
        <f t="shared" si="7"/>
        <v>not read</v>
      </c>
      <c r="O168" t="s">
        <v>47</v>
      </c>
    </row>
    <row r="169" spans="1:15">
      <c r="A169" s="2" t="s">
        <v>797</v>
      </c>
      <c r="B169" t="s">
        <v>798</v>
      </c>
      <c r="C169" t="s">
        <v>799</v>
      </c>
      <c r="D169" s="2" t="s">
        <v>18</v>
      </c>
      <c r="E169" s="2" t="str">
        <f t="shared" si="6"/>
        <v>no rating</v>
      </c>
      <c r="F169" s="2" t="s">
        <v>43</v>
      </c>
      <c r="G169" t="s">
        <v>20</v>
      </c>
      <c r="H169" s="2" t="s">
        <v>800</v>
      </c>
      <c r="I169" s="3" t="str" cm="1">
        <f t="array" ref="I169">_xlfn.IFS(VALUE(TRIM(H169))&lt;300,"Short",VALUE(TRIM(H169))&lt;450,"Medium",VALUE(TRIM(H169))&lt;750,"Long",TRUE,"Very Long")</f>
        <v>Short</v>
      </c>
      <c r="J169" t="s">
        <v>801</v>
      </c>
      <c r="K169" t="str" cm="1">
        <f t="array" ref="K169">_xlfn.IFS(VALUE(TRIM(J169))&lt;0,"BC",VALUE(TRIM(J169))&lt;200,"100",VALUE(TRIM(J169))&lt;800,"700",VALUE(TRIM(J169))&lt;900,"800",VALUE(TRIM(J169))&lt;1000,"900",VALUE(TRIM(J169))&lt;1100,"1000",VALUE(TRIM(J169))&lt;1200,"1100",VALUE(TRIM(J169))&lt;1300,"1200",VALUE(TRIM(J169))&lt;1400,"1300",VALUE(TRIM(J169))&lt;1500,"1400",VALUE(TRIM(J169))&lt;1600,"1500",VALUE(TRIM(J169))&lt;1700,"1600",VALUE(TRIM(J169))&lt;1800,"1700",VALUE(TRIM(J169))&lt;1900,"1800",VALUE(TRIM(J169))&lt;2000,"1900",VALUE(TRIM(J169))&lt;2100,"2000")</f>
        <v>1800</v>
      </c>
      <c r="M169" s="1" t="str">
        <f t="shared" si="8"/>
        <v/>
      </c>
      <c r="N169" s="1" t="str">
        <f t="shared" si="7"/>
        <v>not read</v>
      </c>
      <c r="O169" t="s">
        <v>47</v>
      </c>
    </row>
    <row r="170" spans="1:15">
      <c r="A170" s="2" t="s">
        <v>802</v>
      </c>
      <c r="B170" t="s">
        <v>803</v>
      </c>
      <c r="C170" t="s">
        <v>804</v>
      </c>
      <c r="D170" s="2" t="s">
        <v>18</v>
      </c>
      <c r="E170" s="2" t="str">
        <f t="shared" si="6"/>
        <v>no rating</v>
      </c>
      <c r="F170" s="2" t="s">
        <v>36</v>
      </c>
      <c r="G170" t="s">
        <v>805</v>
      </c>
      <c r="H170" s="2" t="s">
        <v>806</v>
      </c>
      <c r="I170" s="3" t="str" cm="1">
        <f t="array" ref="I170">_xlfn.IFS(VALUE(TRIM(H170))&lt;300,"Short",VALUE(TRIM(H170))&lt;450,"Medium",VALUE(TRIM(H170))&lt;750,"Long",TRUE,"Very Long")</f>
        <v>Short</v>
      </c>
      <c r="J170" t="s">
        <v>807</v>
      </c>
      <c r="K170" t="str" cm="1">
        <f t="array" ref="K170">_xlfn.IFS(VALUE(TRIM(J170))&lt;0,"BC",VALUE(TRIM(J170))&lt;200,"100",VALUE(TRIM(J170))&lt;800,"700",VALUE(TRIM(J170))&lt;900,"800",VALUE(TRIM(J170))&lt;1000,"900",VALUE(TRIM(J170))&lt;1100,"1000",VALUE(TRIM(J170))&lt;1200,"1100",VALUE(TRIM(J170))&lt;1300,"1200",VALUE(TRIM(J170))&lt;1400,"1300",VALUE(TRIM(J170))&lt;1500,"1400",VALUE(TRIM(J170))&lt;1600,"1500",VALUE(TRIM(J170))&lt;1700,"1600",VALUE(TRIM(J170))&lt;1800,"1700",VALUE(TRIM(J170))&lt;1900,"1800",VALUE(TRIM(J170))&lt;2000,"1900",VALUE(TRIM(J170))&lt;2100,"2000")</f>
        <v>1900</v>
      </c>
      <c r="M170" s="1" t="str">
        <f t="shared" si="8"/>
        <v/>
      </c>
      <c r="N170" s="1" t="str">
        <f t="shared" si="7"/>
        <v>not read</v>
      </c>
      <c r="O170" t="s">
        <v>47</v>
      </c>
    </row>
    <row r="171" spans="1:15">
      <c r="A171" s="2" t="s">
        <v>808</v>
      </c>
      <c r="B171" t="s">
        <v>809</v>
      </c>
      <c r="C171" t="s">
        <v>810</v>
      </c>
      <c r="D171" s="2" t="s">
        <v>36</v>
      </c>
      <c r="E171" s="2" t="str">
        <f t="shared" si="6"/>
        <v>4</v>
      </c>
      <c r="F171" s="2" t="s">
        <v>19</v>
      </c>
      <c r="G171" t="s">
        <v>811</v>
      </c>
      <c r="H171" s="2" t="s">
        <v>812</v>
      </c>
      <c r="I171" s="3" t="str" cm="1">
        <f t="array" ref="I171">_xlfn.IFS(VALUE(TRIM(H171))&lt;300,"Short",VALUE(TRIM(H171))&lt;450,"Medium",VALUE(TRIM(H171))&lt;750,"Long",TRUE,"Very Long")</f>
        <v>Short</v>
      </c>
      <c r="J171" t="s">
        <v>813</v>
      </c>
      <c r="K171" t="str" cm="1">
        <f t="array" ref="K171">_xlfn.IFS(VALUE(TRIM(J171))&lt;0,"BC",VALUE(TRIM(J171))&lt;200,"100",VALUE(TRIM(J171))&lt;800,"700",VALUE(TRIM(J171))&lt;900,"800",VALUE(TRIM(J171))&lt;1000,"900",VALUE(TRIM(J171))&lt;1100,"1000",VALUE(TRIM(J171))&lt;1200,"1100",VALUE(TRIM(J171))&lt;1300,"1200",VALUE(TRIM(J171))&lt;1400,"1300",VALUE(TRIM(J171))&lt;1500,"1400",VALUE(TRIM(J171))&lt;1600,"1500",VALUE(TRIM(J171))&lt;1700,"1600",VALUE(TRIM(J171))&lt;1800,"1700",VALUE(TRIM(J171))&lt;1900,"1800",VALUE(TRIM(J171))&lt;2000,"1900",VALUE(TRIM(J171))&lt;2100,"2000")</f>
        <v>1800</v>
      </c>
      <c r="L171" s="1">
        <v>45482</v>
      </c>
      <c r="M171" s="1" t="str">
        <f t="shared" si="8"/>
        <v>07/2024</v>
      </c>
      <c r="N171" s="1">
        <f t="shared" si="7"/>
        <v>45482</v>
      </c>
      <c r="O171" t="s">
        <v>32</v>
      </c>
    </row>
    <row r="172" spans="1:15">
      <c r="A172" s="2" t="s">
        <v>814</v>
      </c>
      <c r="B172" t="s">
        <v>815</v>
      </c>
      <c r="C172" t="s">
        <v>816</v>
      </c>
      <c r="D172" s="2" t="s">
        <v>18</v>
      </c>
      <c r="E172" s="2" t="str">
        <f t="shared" si="6"/>
        <v>no rating</v>
      </c>
      <c r="F172" s="2" t="s">
        <v>36</v>
      </c>
      <c r="G172" t="s">
        <v>817</v>
      </c>
      <c r="H172" s="2" t="s">
        <v>818</v>
      </c>
      <c r="I172" s="3" t="str" cm="1">
        <f t="array" ref="I172">_xlfn.IFS(VALUE(TRIM(H172))&lt;300,"Short",VALUE(TRIM(H172))&lt;450,"Medium",VALUE(TRIM(H172))&lt;750,"Long",TRUE,"Very Long")</f>
        <v>Long</v>
      </c>
      <c r="J172" t="s">
        <v>709</v>
      </c>
      <c r="K172" t="str" cm="1">
        <f t="array" ref="K172">_xlfn.IFS(VALUE(TRIM(J172))&lt;0,"BC",VALUE(TRIM(J172))&lt;200,"100",VALUE(TRIM(J172))&lt;800,"700",VALUE(TRIM(J172))&lt;900,"800",VALUE(TRIM(J172))&lt;1000,"900",VALUE(TRIM(J172))&lt;1100,"1000",VALUE(TRIM(J172))&lt;1200,"1100",VALUE(TRIM(J172))&lt;1300,"1200",VALUE(TRIM(J172))&lt;1400,"1300",VALUE(TRIM(J172))&lt;1500,"1400",VALUE(TRIM(J172))&lt;1600,"1500",VALUE(TRIM(J172))&lt;1700,"1600",VALUE(TRIM(J172))&lt;1800,"1700",VALUE(TRIM(J172))&lt;1900,"1800",VALUE(TRIM(J172))&lt;2000,"1900",VALUE(TRIM(J172))&lt;2100,"2000")</f>
        <v>1900</v>
      </c>
      <c r="M172" s="1" t="str">
        <f t="shared" si="8"/>
        <v/>
      </c>
      <c r="N172" s="1" t="str">
        <f t="shared" si="7"/>
        <v>not read</v>
      </c>
      <c r="O172" t="s">
        <v>47</v>
      </c>
    </row>
    <row r="173" spans="1:15">
      <c r="A173" s="2" t="s">
        <v>819</v>
      </c>
      <c r="B173" t="s">
        <v>820</v>
      </c>
      <c r="C173" t="s">
        <v>821</v>
      </c>
      <c r="D173" s="2" t="s">
        <v>18</v>
      </c>
      <c r="E173" s="2" t="str">
        <f t="shared" si="6"/>
        <v>no rating</v>
      </c>
      <c r="F173" s="2" t="s">
        <v>36</v>
      </c>
      <c r="G173" t="s">
        <v>275</v>
      </c>
      <c r="H173" s="2" t="s">
        <v>156</v>
      </c>
      <c r="I173" s="3" t="str" cm="1">
        <f t="array" ref="I173">_xlfn.IFS(VALUE(TRIM(H173))&lt;300,"Short",VALUE(TRIM(H173))&lt;450,"Medium",VALUE(TRIM(H173))&lt;750,"Long",TRUE,"Very Long")</f>
        <v>Short</v>
      </c>
      <c r="J173" t="s">
        <v>208</v>
      </c>
      <c r="K173" t="str" cm="1">
        <f t="array" ref="K173">_xlfn.IFS(VALUE(TRIM(J173))&lt;0,"BC",VALUE(TRIM(J173))&lt;200,"100",VALUE(TRIM(J173))&lt;800,"700",VALUE(TRIM(J173))&lt;900,"800",VALUE(TRIM(J173))&lt;1000,"900",VALUE(TRIM(J173))&lt;1100,"1000",VALUE(TRIM(J173))&lt;1200,"1100",VALUE(TRIM(J173))&lt;1300,"1200",VALUE(TRIM(J173))&lt;1400,"1300",VALUE(TRIM(J173))&lt;1500,"1400",VALUE(TRIM(J173))&lt;1600,"1500",VALUE(TRIM(J173))&lt;1700,"1600",VALUE(TRIM(J173))&lt;1800,"1700",VALUE(TRIM(J173))&lt;1900,"1800",VALUE(TRIM(J173))&lt;2000,"1900",VALUE(TRIM(J173))&lt;2100,"2000")</f>
        <v>2000</v>
      </c>
      <c r="M173" s="1" t="str">
        <f t="shared" si="8"/>
        <v/>
      </c>
      <c r="N173" s="1" t="str">
        <f t="shared" si="7"/>
        <v>not read</v>
      </c>
      <c r="O173" t="s">
        <v>47</v>
      </c>
    </row>
    <row r="174" spans="1:15">
      <c r="A174" s="2" t="s">
        <v>822</v>
      </c>
      <c r="B174" t="s">
        <v>823</v>
      </c>
      <c r="C174" t="s">
        <v>824</v>
      </c>
      <c r="D174" s="2" t="s">
        <v>18</v>
      </c>
      <c r="E174" s="2" t="str">
        <f t="shared" si="6"/>
        <v>no rating</v>
      </c>
      <c r="F174" s="2" t="s">
        <v>28</v>
      </c>
      <c r="G174" t="s">
        <v>125</v>
      </c>
      <c r="H174" s="2" t="s">
        <v>825</v>
      </c>
      <c r="I174" s="3" t="str" cm="1">
        <f t="array" ref="I174">_xlfn.IFS(VALUE(TRIM(H174))&lt;300,"Short",VALUE(TRIM(H174))&lt;450,"Medium",VALUE(TRIM(H174))&lt;750,"Long",TRUE,"Very Long")</f>
        <v>Medium</v>
      </c>
      <c r="J174" t="s">
        <v>214</v>
      </c>
      <c r="K174" t="str" cm="1">
        <f t="array" ref="K174">_xlfn.IFS(VALUE(TRIM(J174))&lt;0,"BC",VALUE(TRIM(J174))&lt;200,"100",VALUE(TRIM(J174))&lt;800,"700",VALUE(TRIM(J174))&lt;900,"800",VALUE(TRIM(J174))&lt;1000,"900",VALUE(TRIM(J174))&lt;1100,"1000",VALUE(TRIM(J174))&lt;1200,"1100",VALUE(TRIM(J174))&lt;1300,"1200",VALUE(TRIM(J174))&lt;1400,"1300",VALUE(TRIM(J174))&lt;1500,"1400",VALUE(TRIM(J174))&lt;1600,"1500",VALUE(TRIM(J174))&lt;1700,"1600",VALUE(TRIM(J174))&lt;1800,"1700",VALUE(TRIM(J174))&lt;1900,"1800",VALUE(TRIM(J174))&lt;2000,"1900",VALUE(TRIM(J174))&lt;2100,"2000")</f>
        <v>1900</v>
      </c>
      <c r="M174" s="1" t="str">
        <f t="shared" si="8"/>
        <v/>
      </c>
      <c r="N174" s="1" t="str">
        <f t="shared" si="7"/>
        <v>not read</v>
      </c>
      <c r="O174" t="s">
        <v>47</v>
      </c>
    </row>
    <row r="175" spans="1:15">
      <c r="A175" s="2" t="s">
        <v>826</v>
      </c>
      <c r="B175" t="s">
        <v>827</v>
      </c>
      <c r="C175" t="s">
        <v>828</v>
      </c>
      <c r="D175" s="2" t="s">
        <v>18</v>
      </c>
      <c r="E175" s="2" t="str">
        <f t="shared" si="6"/>
        <v>no rating</v>
      </c>
      <c r="F175" s="2" t="s">
        <v>829</v>
      </c>
      <c r="G175" t="s">
        <v>184</v>
      </c>
      <c r="H175" s="2" t="s">
        <v>311</v>
      </c>
      <c r="I175" s="3" t="str" cm="1">
        <f t="array" ref="I175">_xlfn.IFS(VALUE(TRIM(H175))&lt;300,"Short",VALUE(TRIM(H175))&lt;450,"Medium",VALUE(TRIM(H175))&lt;750,"Long",TRUE,"Very Long")</f>
        <v>Medium</v>
      </c>
      <c r="J175" t="s">
        <v>104</v>
      </c>
      <c r="K175" t="str" cm="1">
        <f t="array" ref="K175">_xlfn.IFS(VALUE(TRIM(J175))&lt;0,"BC",VALUE(TRIM(J175))&lt;200,"100",VALUE(TRIM(J175))&lt;800,"700",VALUE(TRIM(J175))&lt;900,"800",VALUE(TRIM(J175))&lt;1000,"900",VALUE(TRIM(J175))&lt;1100,"1000",VALUE(TRIM(J175))&lt;1200,"1100",VALUE(TRIM(J175))&lt;1300,"1200",VALUE(TRIM(J175))&lt;1400,"1300",VALUE(TRIM(J175))&lt;1500,"1400",VALUE(TRIM(J175))&lt;1600,"1500",VALUE(TRIM(J175))&lt;1700,"1600",VALUE(TRIM(J175))&lt;1800,"1700",VALUE(TRIM(J175))&lt;1900,"1800",VALUE(TRIM(J175))&lt;2000,"1900",VALUE(TRIM(J175))&lt;2100,"2000")</f>
        <v>2000</v>
      </c>
      <c r="L175" s="1">
        <v>45479</v>
      </c>
      <c r="M175" s="1" t="str">
        <f t="shared" si="8"/>
        <v>07/2024</v>
      </c>
      <c r="N175" s="1">
        <f t="shared" si="7"/>
        <v>45479</v>
      </c>
      <c r="O175" t="s">
        <v>740</v>
      </c>
    </row>
    <row r="176" spans="1:15">
      <c r="A176" s="2" t="s">
        <v>830</v>
      </c>
      <c r="B176" t="s">
        <v>831</v>
      </c>
      <c r="C176" t="s">
        <v>832</v>
      </c>
      <c r="D176" s="2" t="s">
        <v>18</v>
      </c>
      <c r="E176" s="2" t="str">
        <f t="shared" si="6"/>
        <v>no rating</v>
      </c>
      <c r="F176" s="2" t="s">
        <v>82</v>
      </c>
      <c r="G176" t="s">
        <v>218</v>
      </c>
      <c r="H176" s="2" t="s">
        <v>833</v>
      </c>
      <c r="I176" s="3" t="str" cm="1">
        <f t="array" ref="I176">_xlfn.IFS(VALUE(TRIM(H176))&lt;300,"Short",VALUE(TRIM(H176))&lt;450,"Medium",VALUE(TRIM(H176))&lt;750,"Long",TRUE,"Very Long")</f>
        <v>Long</v>
      </c>
      <c r="J176" t="s">
        <v>834</v>
      </c>
      <c r="K176" t="str" cm="1">
        <f t="array" ref="K176">_xlfn.IFS(VALUE(TRIM(J176))&lt;0,"BC",VALUE(TRIM(J176))&lt;200,"100",VALUE(TRIM(J176))&lt;800,"700",VALUE(TRIM(J176))&lt;900,"800",VALUE(TRIM(J176))&lt;1000,"900",VALUE(TRIM(J176))&lt;1100,"1000",VALUE(TRIM(J176))&lt;1200,"1100",VALUE(TRIM(J176))&lt;1300,"1200",VALUE(TRIM(J176))&lt;1400,"1300",VALUE(TRIM(J176))&lt;1500,"1400",VALUE(TRIM(J176))&lt;1600,"1500",VALUE(TRIM(J176))&lt;1700,"1600",VALUE(TRIM(J176))&lt;1800,"1700",VALUE(TRIM(J176))&lt;1900,"1800",VALUE(TRIM(J176))&lt;2000,"1900",VALUE(TRIM(J176))&lt;2100,"2000")</f>
        <v>1900</v>
      </c>
      <c r="M176" s="1" t="str">
        <f t="shared" si="8"/>
        <v/>
      </c>
      <c r="N176" s="1" t="str">
        <f t="shared" si="7"/>
        <v>not read</v>
      </c>
      <c r="O176" t="s">
        <v>47</v>
      </c>
    </row>
    <row r="177" spans="1:15">
      <c r="A177" s="2" t="s">
        <v>835</v>
      </c>
      <c r="B177" t="s">
        <v>836</v>
      </c>
      <c r="C177" t="s">
        <v>769</v>
      </c>
      <c r="D177" s="2" t="s">
        <v>27</v>
      </c>
      <c r="E177" s="2" t="str">
        <f t="shared" si="6"/>
        <v>3</v>
      </c>
      <c r="F177" s="2" t="s">
        <v>154</v>
      </c>
      <c r="G177" t="s">
        <v>108</v>
      </c>
      <c r="H177" s="2" t="s">
        <v>837</v>
      </c>
      <c r="I177" s="3" t="str" cm="1">
        <f t="array" ref="I177">_xlfn.IFS(VALUE(TRIM(H177))&lt;300,"Short",VALUE(TRIM(H177))&lt;450,"Medium",VALUE(TRIM(H177))&lt;750,"Long",TRUE,"Very Long")</f>
        <v>Short</v>
      </c>
      <c r="J177" t="s">
        <v>46</v>
      </c>
      <c r="K177" t="str" cm="1">
        <f t="array" ref="K177">_xlfn.IFS(VALUE(TRIM(J177))&lt;0,"BC",VALUE(TRIM(J177))&lt;200,"100",VALUE(TRIM(J177))&lt;800,"700",VALUE(TRIM(J177))&lt;900,"800",VALUE(TRIM(J177))&lt;1000,"900",VALUE(TRIM(J177))&lt;1100,"1000",VALUE(TRIM(J177))&lt;1200,"1100",VALUE(TRIM(J177))&lt;1300,"1200",VALUE(TRIM(J177))&lt;1400,"1300",VALUE(TRIM(J177))&lt;1500,"1400",VALUE(TRIM(J177))&lt;1600,"1500",VALUE(TRIM(J177))&lt;1700,"1600",VALUE(TRIM(J177))&lt;1800,"1700",VALUE(TRIM(J177))&lt;1900,"1800",VALUE(TRIM(J177))&lt;2000,"1900",VALUE(TRIM(J177))&lt;2100,"2000")</f>
        <v>2000</v>
      </c>
      <c r="L177" s="1">
        <v>45468</v>
      </c>
      <c r="M177" s="1" t="str">
        <f t="shared" si="8"/>
        <v>06/2024</v>
      </c>
      <c r="N177" s="1">
        <f t="shared" si="7"/>
        <v>45468</v>
      </c>
      <c r="O177" t="s">
        <v>32</v>
      </c>
    </row>
    <row r="178" spans="1:15">
      <c r="A178" s="2" t="s">
        <v>838</v>
      </c>
      <c r="B178" t="s">
        <v>839</v>
      </c>
      <c r="C178" t="s">
        <v>840</v>
      </c>
      <c r="D178" s="2" t="s">
        <v>36</v>
      </c>
      <c r="E178" s="2" t="str">
        <f t="shared" si="6"/>
        <v>4</v>
      </c>
      <c r="F178" s="2" t="s">
        <v>178</v>
      </c>
      <c r="G178" t="s">
        <v>841</v>
      </c>
      <c r="H178" s="2" t="s">
        <v>842</v>
      </c>
      <c r="I178" s="3" t="str" cm="1">
        <f t="array" ref="I178">_xlfn.IFS(VALUE(TRIM(H178))&lt;300,"Short",VALUE(TRIM(H178))&lt;450,"Medium",VALUE(TRIM(H178))&lt;750,"Long",TRUE,"Very Long")</f>
        <v>Short</v>
      </c>
      <c r="J178" t="s">
        <v>54</v>
      </c>
      <c r="K178" t="str" cm="1">
        <f t="array" ref="K178">_xlfn.IFS(VALUE(TRIM(J178))&lt;0,"BC",VALUE(TRIM(J178))&lt;200,"100",VALUE(TRIM(J178))&lt;800,"700",VALUE(TRIM(J178))&lt;900,"800",VALUE(TRIM(J178))&lt;1000,"900",VALUE(TRIM(J178))&lt;1100,"1000",VALUE(TRIM(J178))&lt;1200,"1100",VALUE(TRIM(J178))&lt;1300,"1200",VALUE(TRIM(J178))&lt;1400,"1300",VALUE(TRIM(J178))&lt;1500,"1400",VALUE(TRIM(J178))&lt;1600,"1500",VALUE(TRIM(J178))&lt;1700,"1600",VALUE(TRIM(J178))&lt;1800,"1700",VALUE(TRIM(J178))&lt;1900,"1800",VALUE(TRIM(J178))&lt;2000,"1900",VALUE(TRIM(J178))&lt;2100,"2000")</f>
        <v>2000</v>
      </c>
      <c r="L178" s="1">
        <v>45458</v>
      </c>
      <c r="M178" s="1" t="str">
        <f t="shared" si="8"/>
        <v>06/2024</v>
      </c>
      <c r="N178" s="1">
        <f t="shared" si="7"/>
        <v>45458</v>
      </c>
      <c r="O178" t="s">
        <v>32</v>
      </c>
    </row>
    <row r="179" spans="1:15">
      <c r="A179" s="2" t="s">
        <v>843</v>
      </c>
      <c r="B179" t="s">
        <v>844</v>
      </c>
      <c r="C179" t="s">
        <v>845</v>
      </c>
      <c r="D179" s="2" t="s">
        <v>18</v>
      </c>
      <c r="E179" s="2" t="str">
        <f t="shared" si="6"/>
        <v>no rating</v>
      </c>
      <c r="F179" s="2" t="s">
        <v>82</v>
      </c>
      <c r="G179" t="s">
        <v>737</v>
      </c>
      <c r="H179" s="2" t="s">
        <v>219</v>
      </c>
      <c r="I179" s="3" t="str" cm="1">
        <f t="array" ref="I179">_xlfn.IFS(VALUE(TRIM(H179))&lt;300,"Short",VALUE(TRIM(H179))&lt;450,"Medium",VALUE(TRIM(H179))&lt;750,"Long",TRUE,"Very Long")</f>
        <v>Medium</v>
      </c>
      <c r="J179" t="s">
        <v>312</v>
      </c>
      <c r="K179" t="str" cm="1">
        <f t="array" ref="K179">_xlfn.IFS(VALUE(TRIM(J179))&lt;0,"BC",VALUE(TRIM(J179))&lt;200,"100",VALUE(TRIM(J179))&lt;800,"700",VALUE(TRIM(J179))&lt;900,"800",VALUE(TRIM(J179))&lt;1000,"900",VALUE(TRIM(J179))&lt;1100,"1000",VALUE(TRIM(J179))&lt;1200,"1100",VALUE(TRIM(J179))&lt;1300,"1200",VALUE(TRIM(J179))&lt;1400,"1300",VALUE(TRIM(J179))&lt;1500,"1400",VALUE(TRIM(J179))&lt;1600,"1500",VALUE(TRIM(J179))&lt;1700,"1600",VALUE(TRIM(J179))&lt;1800,"1700",VALUE(TRIM(J179))&lt;1900,"1800",VALUE(TRIM(J179))&lt;2000,"1900",VALUE(TRIM(J179))&lt;2100,"2000")</f>
        <v>2000</v>
      </c>
      <c r="M179" s="1" t="str">
        <f t="shared" si="8"/>
        <v/>
      </c>
      <c r="N179" s="1" t="str">
        <f t="shared" si="7"/>
        <v>not read</v>
      </c>
      <c r="O179" t="s">
        <v>47</v>
      </c>
    </row>
    <row r="180" spans="1:15">
      <c r="A180" s="2" t="s">
        <v>846</v>
      </c>
      <c r="B180" t="s">
        <v>847</v>
      </c>
      <c r="C180" t="s">
        <v>848</v>
      </c>
      <c r="D180" s="2" t="s">
        <v>18</v>
      </c>
      <c r="E180" s="2" t="str">
        <f t="shared" si="6"/>
        <v>no rating</v>
      </c>
      <c r="F180" s="2" t="s">
        <v>28</v>
      </c>
      <c r="G180" t="s">
        <v>849</v>
      </c>
      <c r="H180" s="2" t="s">
        <v>204</v>
      </c>
      <c r="I180" s="3" t="str" cm="1">
        <f t="array" ref="I180">_xlfn.IFS(VALUE(TRIM(H180))&lt;300,"Short",VALUE(TRIM(H180))&lt;450,"Medium",VALUE(TRIM(H180))&lt;750,"Long",TRUE,"Very Long")</f>
        <v>Short</v>
      </c>
      <c r="J180" t="s">
        <v>157</v>
      </c>
      <c r="K180" t="str" cm="1">
        <f t="array" ref="K180">_xlfn.IFS(VALUE(TRIM(J180))&lt;0,"BC",VALUE(TRIM(J180))&lt;200,"100",VALUE(TRIM(J180))&lt;800,"700",VALUE(TRIM(J180))&lt;900,"800",VALUE(TRIM(J180))&lt;1000,"900",VALUE(TRIM(J180))&lt;1100,"1000",VALUE(TRIM(J180))&lt;1200,"1100",VALUE(TRIM(J180))&lt;1300,"1200",VALUE(TRIM(J180))&lt;1400,"1300",VALUE(TRIM(J180))&lt;1500,"1400",VALUE(TRIM(J180))&lt;1600,"1500",VALUE(TRIM(J180))&lt;1700,"1600",VALUE(TRIM(J180))&lt;1800,"1700",VALUE(TRIM(J180))&lt;1900,"1800",VALUE(TRIM(J180))&lt;2000,"1900",VALUE(TRIM(J180))&lt;2100,"2000")</f>
        <v>2000</v>
      </c>
      <c r="M180" s="1" t="str">
        <f t="shared" si="8"/>
        <v/>
      </c>
      <c r="N180" s="1" t="str">
        <f t="shared" si="7"/>
        <v>not read</v>
      </c>
      <c r="O180" t="s">
        <v>47</v>
      </c>
    </row>
    <row r="181" spans="1:15">
      <c r="A181" s="2" t="s">
        <v>850</v>
      </c>
      <c r="B181" t="s">
        <v>851</v>
      </c>
      <c r="C181" t="s">
        <v>852</v>
      </c>
      <c r="D181" s="2" t="s">
        <v>18</v>
      </c>
      <c r="E181" s="2" t="str">
        <f t="shared" si="6"/>
        <v>no rating</v>
      </c>
      <c r="F181" s="2" t="s">
        <v>43</v>
      </c>
      <c r="G181" t="s">
        <v>853</v>
      </c>
      <c r="H181" s="2" t="s">
        <v>156</v>
      </c>
      <c r="I181" s="3" t="str" cm="1">
        <f t="array" ref="I181">_xlfn.IFS(VALUE(TRIM(H181))&lt;300,"Short",VALUE(TRIM(H181))&lt;450,"Medium",VALUE(TRIM(H181))&lt;750,"Long",TRUE,"Very Long")</f>
        <v>Short</v>
      </c>
      <c r="J181" t="s">
        <v>208</v>
      </c>
      <c r="K181" t="str" cm="1">
        <f t="array" ref="K181">_xlfn.IFS(VALUE(TRIM(J181))&lt;0,"BC",VALUE(TRIM(J181))&lt;200,"100",VALUE(TRIM(J181))&lt;800,"700",VALUE(TRIM(J181))&lt;900,"800",VALUE(TRIM(J181))&lt;1000,"900",VALUE(TRIM(J181))&lt;1100,"1000",VALUE(TRIM(J181))&lt;1200,"1100",VALUE(TRIM(J181))&lt;1300,"1200",VALUE(TRIM(J181))&lt;1400,"1300",VALUE(TRIM(J181))&lt;1500,"1400",VALUE(TRIM(J181))&lt;1600,"1500",VALUE(TRIM(J181))&lt;1700,"1600",VALUE(TRIM(J181))&lt;1800,"1700",VALUE(TRIM(J181))&lt;1900,"1800",VALUE(TRIM(J181))&lt;2000,"1900",VALUE(TRIM(J181))&lt;2100,"2000")</f>
        <v>2000</v>
      </c>
      <c r="M181" s="1" t="str">
        <f t="shared" si="8"/>
        <v/>
      </c>
      <c r="N181" s="1" t="str">
        <f t="shared" si="7"/>
        <v>not read</v>
      </c>
      <c r="O181" t="s">
        <v>47</v>
      </c>
    </row>
    <row r="182" spans="1:15">
      <c r="A182" s="2" t="s">
        <v>854</v>
      </c>
      <c r="B182" t="s">
        <v>855</v>
      </c>
      <c r="C182" t="s">
        <v>856</v>
      </c>
      <c r="D182" s="2" t="s">
        <v>18</v>
      </c>
      <c r="E182" s="2" t="str">
        <f t="shared" si="6"/>
        <v>no rating</v>
      </c>
      <c r="F182" s="2" t="s">
        <v>28</v>
      </c>
      <c r="G182" t="s">
        <v>857</v>
      </c>
      <c r="H182" s="2" t="s">
        <v>356</v>
      </c>
      <c r="I182" s="3" t="str" cm="1">
        <f t="array" ref="I182">_xlfn.IFS(VALUE(TRIM(H182))&lt;300,"Short",VALUE(TRIM(H182))&lt;450,"Medium",VALUE(TRIM(H182))&lt;750,"Long",TRUE,"Very Long")</f>
        <v>Short</v>
      </c>
      <c r="J182" t="s">
        <v>174</v>
      </c>
      <c r="K182" t="str" cm="1">
        <f t="array" ref="K182">_xlfn.IFS(VALUE(TRIM(J182))&lt;0,"BC",VALUE(TRIM(J182))&lt;200,"100",VALUE(TRIM(J182))&lt;800,"700",VALUE(TRIM(J182))&lt;900,"800",VALUE(TRIM(J182))&lt;1000,"900",VALUE(TRIM(J182))&lt;1100,"1000",VALUE(TRIM(J182))&lt;1200,"1100",VALUE(TRIM(J182))&lt;1300,"1200",VALUE(TRIM(J182))&lt;1400,"1300",VALUE(TRIM(J182))&lt;1500,"1400",VALUE(TRIM(J182))&lt;1600,"1500",VALUE(TRIM(J182))&lt;1700,"1600",VALUE(TRIM(J182))&lt;1800,"1700",VALUE(TRIM(J182))&lt;1900,"1800",VALUE(TRIM(J182))&lt;2000,"1900",VALUE(TRIM(J182))&lt;2100,"2000")</f>
        <v>2000</v>
      </c>
      <c r="M182" s="1" t="str">
        <f t="shared" si="8"/>
        <v/>
      </c>
      <c r="N182" s="1" t="str">
        <f t="shared" si="7"/>
        <v>not read</v>
      </c>
      <c r="O182" t="s">
        <v>47</v>
      </c>
    </row>
    <row r="183" spans="1:15">
      <c r="A183" s="2" t="s">
        <v>858</v>
      </c>
      <c r="B183" t="s">
        <v>859</v>
      </c>
      <c r="C183" t="s">
        <v>860</v>
      </c>
      <c r="D183" s="2" t="s">
        <v>18</v>
      </c>
      <c r="E183" s="2" t="str">
        <f t="shared" si="6"/>
        <v>no rating</v>
      </c>
      <c r="F183" s="2" t="s">
        <v>43</v>
      </c>
      <c r="G183" t="s">
        <v>520</v>
      </c>
      <c r="H183" s="2" t="s">
        <v>97</v>
      </c>
      <c r="I183" s="3" t="str" cm="1">
        <f t="array" ref="I183">_xlfn.IFS(VALUE(TRIM(H183))&lt;300,"Short",VALUE(TRIM(H183))&lt;450,"Medium",VALUE(TRIM(H183))&lt;750,"Long",TRUE,"Very Long")</f>
        <v>Short</v>
      </c>
      <c r="J183" t="s">
        <v>426</v>
      </c>
      <c r="K183" t="str" cm="1">
        <f t="array" ref="K183">_xlfn.IFS(VALUE(TRIM(J183))&lt;0,"BC",VALUE(TRIM(J183))&lt;200,"100",VALUE(TRIM(J183))&lt;800,"700",VALUE(TRIM(J183))&lt;900,"800",VALUE(TRIM(J183))&lt;1000,"900",VALUE(TRIM(J183))&lt;1100,"1000",VALUE(TRIM(J183))&lt;1200,"1100",VALUE(TRIM(J183))&lt;1300,"1200",VALUE(TRIM(J183))&lt;1400,"1300",VALUE(TRIM(J183))&lt;1500,"1400",VALUE(TRIM(J183))&lt;1600,"1500",VALUE(TRIM(J183))&lt;1700,"1600",VALUE(TRIM(J183))&lt;1800,"1700",VALUE(TRIM(J183))&lt;1900,"1800",VALUE(TRIM(J183))&lt;2000,"1900",VALUE(TRIM(J183))&lt;2100,"2000")</f>
        <v>2000</v>
      </c>
      <c r="M183" s="1" t="str">
        <f t="shared" si="8"/>
        <v/>
      </c>
      <c r="N183" s="1" t="str">
        <f t="shared" si="7"/>
        <v>not read</v>
      </c>
      <c r="O183" t="s">
        <v>47</v>
      </c>
    </row>
    <row r="184" spans="1:15">
      <c r="A184" s="2" t="s">
        <v>861</v>
      </c>
      <c r="B184" t="s">
        <v>862</v>
      </c>
      <c r="C184" t="s">
        <v>863</v>
      </c>
      <c r="D184" s="2" t="s">
        <v>18</v>
      </c>
      <c r="E184" s="2" t="str">
        <f t="shared" si="6"/>
        <v>no rating</v>
      </c>
      <c r="F184" s="2" t="s">
        <v>19</v>
      </c>
      <c r="G184" t="s">
        <v>125</v>
      </c>
      <c r="H184" s="2" t="s">
        <v>864</v>
      </c>
      <c r="I184" s="3" t="str" cm="1">
        <f t="array" ref="I184">_xlfn.IFS(VALUE(TRIM(H184))&lt;300,"Short",VALUE(TRIM(H184))&lt;450,"Medium",VALUE(TRIM(H184))&lt;750,"Long",TRUE,"Very Long")</f>
        <v>Short</v>
      </c>
      <c r="J184" t="s">
        <v>78</v>
      </c>
      <c r="K184" t="str" cm="1">
        <f t="array" ref="K184">_xlfn.IFS(VALUE(TRIM(J184))&lt;0,"BC",VALUE(TRIM(J184))&lt;200,"100",VALUE(TRIM(J184))&lt;800,"700",VALUE(TRIM(J184))&lt;900,"800",VALUE(TRIM(J184))&lt;1000,"900",VALUE(TRIM(J184))&lt;1100,"1000",VALUE(TRIM(J184))&lt;1200,"1100",VALUE(TRIM(J184))&lt;1300,"1200",VALUE(TRIM(J184))&lt;1400,"1300",VALUE(TRIM(J184))&lt;1500,"1400",VALUE(TRIM(J184))&lt;1600,"1500",VALUE(TRIM(J184))&lt;1700,"1600",VALUE(TRIM(J184))&lt;1800,"1700",VALUE(TRIM(J184))&lt;1900,"1800",VALUE(TRIM(J184))&lt;2000,"1900",VALUE(TRIM(J184))&lt;2100,"2000")</f>
        <v>2000</v>
      </c>
      <c r="M184" s="1" t="str">
        <f t="shared" si="8"/>
        <v/>
      </c>
      <c r="N184" s="1" t="str">
        <f t="shared" si="7"/>
        <v>not read</v>
      </c>
      <c r="O184" t="s">
        <v>47</v>
      </c>
    </row>
    <row r="185" spans="1:15">
      <c r="A185" s="2" t="s">
        <v>865</v>
      </c>
      <c r="B185" t="s">
        <v>866</v>
      </c>
      <c r="C185" t="s">
        <v>867</v>
      </c>
      <c r="D185" s="2" t="s">
        <v>18</v>
      </c>
      <c r="E185" s="2" t="str">
        <f t="shared" si="6"/>
        <v>no rating</v>
      </c>
      <c r="F185" s="2" t="s">
        <v>178</v>
      </c>
      <c r="G185" t="s">
        <v>44</v>
      </c>
      <c r="H185" s="2" t="s">
        <v>868</v>
      </c>
      <c r="I185" s="3" t="str" cm="1">
        <f t="array" ref="I185">_xlfn.IFS(VALUE(TRIM(H185))&lt;300,"Short",VALUE(TRIM(H185))&lt;450,"Medium",VALUE(TRIM(H185))&lt;750,"Long",TRUE,"Very Long")</f>
        <v>Medium</v>
      </c>
      <c r="J185" t="s">
        <v>426</v>
      </c>
      <c r="K185" t="str" cm="1">
        <f t="array" ref="K185">_xlfn.IFS(VALUE(TRIM(J185))&lt;0,"BC",VALUE(TRIM(J185))&lt;200,"100",VALUE(TRIM(J185))&lt;800,"700",VALUE(TRIM(J185))&lt;900,"800",VALUE(TRIM(J185))&lt;1000,"900",VALUE(TRIM(J185))&lt;1100,"1000",VALUE(TRIM(J185))&lt;1200,"1100",VALUE(TRIM(J185))&lt;1300,"1200",VALUE(TRIM(J185))&lt;1400,"1300",VALUE(TRIM(J185))&lt;1500,"1400",VALUE(TRIM(J185))&lt;1600,"1500",VALUE(TRIM(J185))&lt;1700,"1600",VALUE(TRIM(J185))&lt;1800,"1700",VALUE(TRIM(J185))&lt;1900,"1800",VALUE(TRIM(J185))&lt;2000,"1900",VALUE(TRIM(J185))&lt;2100,"2000")</f>
        <v>2000</v>
      </c>
      <c r="M185" s="1" t="str">
        <f t="shared" si="8"/>
        <v/>
      </c>
      <c r="N185" s="1" t="str">
        <f t="shared" si="7"/>
        <v>not read</v>
      </c>
      <c r="O185" t="s">
        <v>47</v>
      </c>
    </row>
    <row r="186" spans="1:15">
      <c r="A186" s="2" t="s">
        <v>869</v>
      </c>
      <c r="B186" t="s">
        <v>870</v>
      </c>
      <c r="C186" t="s">
        <v>871</v>
      </c>
      <c r="D186" s="2" t="s">
        <v>18</v>
      </c>
      <c r="E186" s="2" t="str">
        <f t="shared" si="6"/>
        <v>no rating</v>
      </c>
      <c r="F186" s="2" t="s">
        <v>36</v>
      </c>
      <c r="G186" t="s">
        <v>872</v>
      </c>
      <c r="H186" s="2" t="s">
        <v>873</v>
      </c>
      <c r="I186" s="3" t="str" cm="1">
        <f t="array" ref="I186">_xlfn.IFS(VALUE(TRIM(H186))&lt;300,"Short",VALUE(TRIM(H186))&lt;450,"Medium",VALUE(TRIM(H186))&lt;750,"Long",TRUE,"Very Long")</f>
        <v>Short</v>
      </c>
      <c r="J186" t="s">
        <v>174</v>
      </c>
      <c r="K186" t="str" cm="1">
        <f t="array" ref="K186">_xlfn.IFS(VALUE(TRIM(J186))&lt;0,"BC",VALUE(TRIM(J186))&lt;200,"100",VALUE(TRIM(J186))&lt;800,"700",VALUE(TRIM(J186))&lt;900,"800",VALUE(TRIM(J186))&lt;1000,"900",VALUE(TRIM(J186))&lt;1100,"1000",VALUE(TRIM(J186))&lt;1200,"1100",VALUE(TRIM(J186))&lt;1300,"1200",VALUE(TRIM(J186))&lt;1400,"1300",VALUE(TRIM(J186))&lt;1500,"1400",VALUE(TRIM(J186))&lt;1600,"1500",VALUE(TRIM(J186))&lt;1700,"1600",VALUE(TRIM(J186))&lt;1800,"1700",VALUE(TRIM(J186))&lt;1900,"1800",VALUE(TRIM(J186))&lt;2000,"1900",VALUE(TRIM(J186))&lt;2100,"2000")</f>
        <v>2000</v>
      </c>
      <c r="M186" s="1" t="str">
        <f t="shared" si="8"/>
        <v/>
      </c>
      <c r="N186" s="1" t="str">
        <f t="shared" si="7"/>
        <v>not read</v>
      </c>
      <c r="O186" t="s">
        <v>47</v>
      </c>
    </row>
    <row r="187" spans="1:15">
      <c r="A187" s="2" t="s">
        <v>874</v>
      </c>
      <c r="B187" t="s">
        <v>875</v>
      </c>
      <c r="C187" t="s">
        <v>778</v>
      </c>
      <c r="D187" s="2" t="s">
        <v>18</v>
      </c>
      <c r="E187" s="2" t="str">
        <f t="shared" si="6"/>
        <v>no rating</v>
      </c>
      <c r="F187" s="2" t="s">
        <v>28</v>
      </c>
      <c r="G187" t="s">
        <v>556</v>
      </c>
      <c r="H187" s="2" t="s">
        <v>876</v>
      </c>
      <c r="I187" s="3" t="str" cm="1">
        <f t="array" ref="I187">_xlfn.IFS(VALUE(TRIM(H187))&lt;300,"Short",VALUE(TRIM(H187))&lt;450,"Medium",VALUE(TRIM(H187))&lt;750,"Long",TRUE,"Very Long")</f>
        <v>Short</v>
      </c>
      <c r="J187" t="s">
        <v>200</v>
      </c>
      <c r="K187" t="str" cm="1">
        <f t="array" ref="K187">_xlfn.IFS(VALUE(TRIM(J187))&lt;0,"BC",VALUE(TRIM(J187))&lt;200,"100",VALUE(TRIM(J187))&lt;800,"700",VALUE(TRIM(J187))&lt;900,"800",VALUE(TRIM(J187))&lt;1000,"900",VALUE(TRIM(J187))&lt;1100,"1000",VALUE(TRIM(J187))&lt;1200,"1100",VALUE(TRIM(J187))&lt;1300,"1200",VALUE(TRIM(J187))&lt;1400,"1300",VALUE(TRIM(J187))&lt;1500,"1400",VALUE(TRIM(J187))&lt;1600,"1500",VALUE(TRIM(J187))&lt;1700,"1600",VALUE(TRIM(J187))&lt;1800,"1700",VALUE(TRIM(J187))&lt;1900,"1800",VALUE(TRIM(J187))&lt;2000,"1900",VALUE(TRIM(J187))&lt;2100,"2000")</f>
        <v>2000</v>
      </c>
      <c r="M187" s="1" t="str">
        <f t="shared" si="8"/>
        <v/>
      </c>
      <c r="N187" s="1" t="str">
        <f t="shared" si="7"/>
        <v>not read</v>
      </c>
      <c r="O187" t="s">
        <v>47</v>
      </c>
    </row>
    <row r="188" spans="1:15">
      <c r="A188" s="2" t="s">
        <v>877</v>
      </c>
      <c r="B188" t="s">
        <v>878</v>
      </c>
      <c r="C188" t="s">
        <v>879</v>
      </c>
      <c r="D188" s="2" t="s">
        <v>18</v>
      </c>
      <c r="E188" s="2" t="str">
        <f t="shared" si="6"/>
        <v>no rating</v>
      </c>
      <c r="F188" s="2" t="s">
        <v>19</v>
      </c>
      <c r="G188" t="s">
        <v>343</v>
      </c>
      <c r="H188" s="2" t="s">
        <v>880</v>
      </c>
      <c r="I188" s="3" t="str" cm="1">
        <f t="array" ref="I188">_xlfn.IFS(VALUE(TRIM(H188))&lt;300,"Short",VALUE(TRIM(H188))&lt;450,"Medium",VALUE(TRIM(H188))&lt;750,"Long",TRUE,"Very Long")</f>
        <v>Short</v>
      </c>
      <c r="J188" t="s">
        <v>85</v>
      </c>
      <c r="K188" t="str" cm="1">
        <f t="array" ref="K188">_xlfn.IFS(VALUE(TRIM(J188))&lt;0,"BC",VALUE(TRIM(J188))&lt;200,"100",VALUE(TRIM(J188))&lt;800,"700",VALUE(TRIM(J188))&lt;900,"800",VALUE(TRIM(J188))&lt;1000,"900",VALUE(TRIM(J188))&lt;1100,"1000",VALUE(TRIM(J188))&lt;1200,"1100",VALUE(TRIM(J188))&lt;1300,"1200",VALUE(TRIM(J188))&lt;1400,"1300",VALUE(TRIM(J188))&lt;1500,"1400",VALUE(TRIM(J188))&lt;1600,"1500",VALUE(TRIM(J188))&lt;1700,"1600",VALUE(TRIM(J188))&lt;1800,"1700",VALUE(TRIM(J188))&lt;1900,"1800",VALUE(TRIM(J188))&lt;2000,"1900",VALUE(TRIM(J188))&lt;2100,"2000")</f>
        <v>2000</v>
      </c>
      <c r="M188" s="1" t="str">
        <f t="shared" si="8"/>
        <v/>
      </c>
      <c r="N188" s="1" t="str">
        <f t="shared" si="7"/>
        <v>not read</v>
      </c>
      <c r="O188" t="s">
        <v>47</v>
      </c>
    </row>
    <row r="189" spans="1:15">
      <c r="A189" s="2" t="s">
        <v>881</v>
      </c>
      <c r="B189" t="s">
        <v>882</v>
      </c>
      <c r="C189" t="s">
        <v>883</v>
      </c>
      <c r="D189" s="2" t="s">
        <v>18</v>
      </c>
      <c r="E189" s="2" t="str">
        <f t="shared" si="6"/>
        <v>no rating</v>
      </c>
      <c r="F189" s="2" t="s">
        <v>69</v>
      </c>
      <c r="G189" t="s">
        <v>884</v>
      </c>
      <c r="H189" s="2" t="s">
        <v>885</v>
      </c>
      <c r="I189" s="3" t="str" cm="1">
        <f t="array" ref="I189">_xlfn.IFS(VALUE(TRIM(H189))&lt;300,"Short",VALUE(TRIM(H189))&lt;450,"Medium",VALUE(TRIM(H189))&lt;750,"Long",TRUE,"Very Long")</f>
        <v>Short</v>
      </c>
      <c r="J189" t="s">
        <v>426</v>
      </c>
      <c r="K189" t="str" cm="1">
        <f t="array" ref="K189">_xlfn.IFS(VALUE(TRIM(J189))&lt;0,"BC",VALUE(TRIM(J189))&lt;200,"100",VALUE(TRIM(J189))&lt;800,"700",VALUE(TRIM(J189))&lt;900,"800",VALUE(TRIM(J189))&lt;1000,"900",VALUE(TRIM(J189))&lt;1100,"1000",VALUE(TRIM(J189))&lt;1200,"1100",VALUE(TRIM(J189))&lt;1300,"1200",VALUE(TRIM(J189))&lt;1400,"1300",VALUE(TRIM(J189))&lt;1500,"1400",VALUE(TRIM(J189))&lt;1600,"1500",VALUE(TRIM(J189))&lt;1700,"1600",VALUE(TRIM(J189))&lt;1800,"1700",VALUE(TRIM(J189))&lt;1900,"1800",VALUE(TRIM(J189))&lt;2000,"1900",VALUE(TRIM(J189))&lt;2100,"2000")</f>
        <v>2000</v>
      </c>
      <c r="M189" s="1" t="str">
        <f t="shared" si="8"/>
        <v/>
      </c>
      <c r="N189" s="1" t="str">
        <f t="shared" si="7"/>
        <v>not read</v>
      </c>
      <c r="O189" t="s">
        <v>47</v>
      </c>
    </row>
    <row r="190" spans="1:15">
      <c r="A190" s="2" t="s">
        <v>886</v>
      </c>
      <c r="B190" t="s">
        <v>887</v>
      </c>
      <c r="C190" t="s">
        <v>888</v>
      </c>
      <c r="D190" s="2" t="s">
        <v>18</v>
      </c>
      <c r="E190" s="2" t="str">
        <f t="shared" si="6"/>
        <v>no rating</v>
      </c>
      <c r="F190" s="2" t="s">
        <v>82</v>
      </c>
      <c r="G190" t="s">
        <v>889</v>
      </c>
      <c r="H190" s="2" t="s">
        <v>890</v>
      </c>
      <c r="I190" s="3" t="str" cm="1">
        <f t="array" ref="I190">_xlfn.IFS(VALUE(TRIM(H190))&lt;300,"Short",VALUE(TRIM(H190))&lt;450,"Medium",VALUE(TRIM(H190))&lt;750,"Long",TRUE,"Very Long")</f>
        <v>Short</v>
      </c>
      <c r="J190" t="s">
        <v>163</v>
      </c>
      <c r="K190" t="str" cm="1">
        <f t="array" ref="K190">_xlfn.IFS(VALUE(TRIM(J190))&lt;0,"BC",VALUE(TRIM(J190))&lt;200,"100",VALUE(TRIM(J190))&lt;800,"700",VALUE(TRIM(J190))&lt;900,"800",VALUE(TRIM(J190))&lt;1000,"900",VALUE(TRIM(J190))&lt;1100,"1000",VALUE(TRIM(J190))&lt;1200,"1100",VALUE(TRIM(J190))&lt;1300,"1200",VALUE(TRIM(J190))&lt;1400,"1300",VALUE(TRIM(J190))&lt;1500,"1400",VALUE(TRIM(J190))&lt;1600,"1500",VALUE(TRIM(J190))&lt;1700,"1600",VALUE(TRIM(J190))&lt;1800,"1700",VALUE(TRIM(J190))&lt;1900,"1800",VALUE(TRIM(J190))&lt;2000,"1900",VALUE(TRIM(J190))&lt;2100,"2000")</f>
        <v>2000</v>
      </c>
      <c r="M190" s="1" t="str">
        <f t="shared" si="8"/>
        <v/>
      </c>
      <c r="N190" s="1" t="str">
        <f t="shared" si="7"/>
        <v>not read</v>
      </c>
      <c r="O190" t="s">
        <v>47</v>
      </c>
    </row>
    <row r="191" spans="1:15">
      <c r="A191" s="2" t="s">
        <v>891</v>
      </c>
      <c r="B191" t="s">
        <v>892</v>
      </c>
      <c r="C191" t="s">
        <v>893</v>
      </c>
      <c r="D191" s="2" t="s">
        <v>18</v>
      </c>
      <c r="E191" s="2" t="str">
        <f t="shared" si="6"/>
        <v>no rating</v>
      </c>
      <c r="F191" s="2" t="s">
        <v>36</v>
      </c>
      <c r="G191" t="s">
        <v>20</v>
      </c>
      <c r="H191" s="2" t="s">
        <v>894</v>
      </c>
      <c r="I191" s="3" t="str" cm="1">
        <f t="array" ref="I191">_xlfn.IFS(VALUE(TRIM(H191))&lt;300,"Short",VALUE(TRIM(H191))&lt;450,"Medium",VALUE(TRIM(H191))&lt;750,"Long",TRUE,"Very Long")</f>
        <v>Short</v>
      </c>
      <c r="J191" t="s">
        <v>384</v>
      </c>
      <c r="K191" t="str" cm="1">
        <f t="array" ref="K191">_xlfn.IFS(VALUE(TRIM(J191))&lt;0,"BC",VALUE(TRIM(J191))&lt;200,"100",VALUE(TRIM(J191))&lt;800,"700",VALUE(TRIM(J191))&lt;900,"800",VALUE(TRIM(J191))&lt;1000,"900",VALUE(TRIM(J191))&lt;1100,"1000",VALUE(TRIM(J191))&lt;1200,"1100",VALUE(TRIM(J191))&lt;1300,"1200",VALUE(TRIM(J191))&lt;1400,"1300",VALUE(TRIM(J191))&lt;1500,"1400",VALUE(TRIM(J191))&lt;1600,"1500",VALUE(TRIM(J191))&lt;1700,"1600",VALUE(TRIM(J191))&lt;1800,"1700",VALUE(TRIM(J191))&lt;1900,"1800",VALUE(TRIM(J191))&lt;2000,"1900",VALUE(TRIM(J191))&lt;2100,"2000")</f>
        <v>2000</v>
      </c>
      <c r="M191" s="1" t="str">
        <f t="shared" si="8"/>
        <v/>
      </c>
      <c r="N191" s="1" t="str">
        <f t="shared" si="7"/>
        <v>not read</v>
      </c>
      <c r="O191" t="s">
        <v>47</v>
      </c>
    </row>
    <row r="192" spans="1:15">
      <c r="A192" s="2" t="s">
        <v>895</v>
      </c>
      <c r="B192" t="s">
        <v>896</v>
      </c>
      <c r="C192" t="s">
        <v>35</v>
      </c>
      <c r="D192" s="2" t="s">
        <v>18</v>
      </c>
      <c r="E192" s="2" t="str">
        <f t="shared" ref="E192:E246" si="9">IF(D192="0","no rating", D192)</f>
        <v>no rating</v>
      </c>
      <c r="F192" s="2" t="s">
        <v>43</v>
      </c>
      <c r="G192" t="s">
        <v>897</v>
      </c>
      <c r="H192" s="2" t="s">
        <v>894</v>
      </c>
      <c r="I192" s="3" t="str" cm="1">
        <f t="array" ref="I192">_xlfn.IFS(VALUE(TRIM(H192))&lt;300,"Short",VALUE(TRIM(H192))&lt;450,"Medium",VALUE(TRIM(H192))&lt;750,"Long",TRUE,"Very Long")</f>
        <v>Short</v>
      </c>
      <c r="J192" t="s">
        <v>627</v>
      </c>
      <c r="K192" t="str" cm="1">
        <f t="array" ref="K192">_xlfn.IFS(VALUE(TRIM(J192))&lt;0,"BC",VALUE(TRIM(J192))&lt;200,"100",VALUE(TRIM(J192))&lt;800,"700",VALUE(TRIM(J192))&lt;900,"800",VALUE(TRIM(J192))&lt;1000,"900",VALUE(TRIM(J192))&lt;1100,"1000",VALUE(TRIM(J192))&lt;1200,"1100",VALUE(TRIM(J192))&lt;1300,"1200",VALUE(TRIM(J192))&lt;1400,"1300",VALUE(TRIM(J192))&lt;1500,"1400",VALUE(TRIM(J192))&lt;1600,"1500",VALUE(TRIM(J192))&lt;1700,"1600",VALUE(TRIM(J192))&lt;1800,"1700",VALUE(TRIM(J192))&lt;1900,"1800",VALUE(TRIM(J192))&lt;2000,"1900",VALUE(TRIM(J192))&lt;2100,"2000")</f>
        <v>1900</v>
      </c>
      <c r="M192" s="1" t="str">
        <f t="shared" si="8"/>
        <v/>
      </c>
      <c r="N192" s="1" t="str">
        <f t="shared" ref="N192:N246" si="10">IF(L192="","not read",L192)</f>
        <v>not read</v>
      </c>
      <c r="O192" t="s">
        <v>47</v>
      </c>
    </row>
    <row r="193" spans="1:15">
      <c r="A193" s="2" t="s">
        <v>898</v>
      </c>
      <c r="B193" t="s">
        <v>899</v>
      </c>
      <c r="C193" t="s">
        <v>900</v>
      </c>
      <c r="D193" s="2" t="s">
        <v>18</v>
      </c>
      <c r="E193" s="2" t="str">
        <f t="shared" si="9"/>
        <v>no rating</v>
      </c>
      <c r="F193" s="2" t="s">
        <v>19</v>
      </c>
      <c r="G193" t="s">
        <v>258</v>
      </c>
      <c r="H193" s="2" t="s">
        <v>901</v>
      </c>
      <c r="I193" s="3" t="str" cm="1">
        <f t="array" ref="I193">_xlfn.IFS(VALUE(TRIM(H193))&lt;300,"Short",VALUE(TRIM(H193))&lt;450,"Medium",VALUE(TRIM(H193))&lt;750,"Long",TRUE,"Very Long")</f>
        <v>Short</v>
      </c>
      <c r="J193" t="s">
        <v>902</v>
      </c>
      <c r="K193" t="str" cm="1">
        <f t="array" ref="K193">_xlfn.IFS(VALUE(TRIM(J193))&lt;0,"BC",VALUE(TRIM(J193))&lt;200,"100",VALUE(TRIM(J193))&lt;800,"700",VALUE(TRIM(J193))&lt;900,"800",VALUE(TRIM(J193))&lt;1000,"900",VALUE(TRIM(J193))&lt;1100,"1000",VALUE(TRIM(J193))&lt;1200,"1100",VALUE(TRIM(J193))&lt;1300,"1200",VALUE(TRIM(J193))&lt;1400,"1300",VALUE(TRIM(J193))&lt;1500,"1400",VALUE(TRIM(J193))&lt;1600,"1500",VALUE(TRIM(J193))&lt;1700,"1600",VALUE(TRIM(J193))&lt;1800,"1700",VALUE(TRIM(J193))&lt;1900,"1800",VALUE(TRIM(J193))&lt;2000,"1900",VALUE(TRIM(J193))&lt;2100,"2000")</f>
        <v>1900</v>
      </c>
      <c r="M193" s="1" t="str">
        <f t="shared" si="8"/>
        <v/>
      </c>
      <c r="N193" s="1" t="str">
        <f t="shared" si="10"/>
        <v>not read</v>
      </c>
      <c r="O193" t="s">
        <v>47</v>
      </c>
    </row>
    <row r="194" spans="1:15">
      <c r="A194" s="2" t="s">
        <v>903</v>
      </c>
      <c r="B194" t="s">
        <v>904</v>
      </c>
      <c r="C194" t="s">
        <v>905</v>
      </c>
      <c r="D194" s="2" t="s">
        <v>18</v>
      </c>
      <c r="E194" s="2" t="str">
        <f t="shared" si="9"/>
        <v>no rating</v>
      </c>
      <c r="F194" s="2" t="s">
        <v>36</v>
      </c>
      <c r="G194" t="s">
        <v>20</v>
      </c>
      <c r="H194" s="2" t="s">
        <v>901</v>
      </c>
      <c r="I194" s="3" t="str" cm="1">
        <f t="array" ref="I194">_xlfn.IFS(VALUE(TRIM(H194))&lt;300,"Short",VALUE(TRIM(H194))&lt;450,"Medium",VALUE(TRIM(H194))&lt;750,"Long",TRUE,"Very Long")</f>
        <v>Short</v>
      </c>
      <c r="J194" t="s">
        <v>801</v>
      </c>
      <c r="K194" t="str" cm="1">
        <f t="array" ref="K194">_xlfn.IFS(VALUE(TRIM(J194))&lt;0,"BC",VALUE(TRIM(J194))&lt;200,"100",VALUE(TRIM(J194))&lt;800,"700",VALUE(TRIM(J194))&lt;900,"800",VALUE(TRIM(J194))&lt;1000,"900",VALUE(TRIM(J194))&lt;1100,"1000",VALUE(TRIM(J194))&lt;1200,"1100",VALUE(TRIM(J194))&lt;1300,"1200",VALUE(TRIM(J194))&lt;1400,"1300",VALUE(TRIM(J194))&lt;1500,"1400",VALUE(TRIM(J194))&lt;1600,"1500",VALUE(TRIM(J194))&lt;1700,"1600",VALUE(TRIM(J194))&lt;1800,"1700",VALUE(TRIM(J194))&lt;1900,"1800",VALUE(TRIM(J194))&lt;2000,"1900",VALUE(TRIM(J194))&lt;2100,"2000")</f>
        <v>1800</v>
      </c>
      <c r="M194" s="1" t="str">
        <f t="shared" si="8"/>
        <v/>
      </c>
      <c r="N194" s="1" t="str">
        <f t="shared" si="10"/>
        <v>not read</v>
      </c>
      <c r="O194" t="s">
        <v>47</v>
      </c>
    </row>
    <row r="195" spans="1:15">
      <c r="A195" s="2" t="s">
        <v>906</v>
      </c>
      <c r="B195" t="s">
        <v>907</v>
      </c>
      <c r="C195" t="s">
        <v>908</v>
      </c>
      <c r="D195" s="2" t="s">
        <v>18</v>
      </c>
      <c r="E195" s="2" t="str">
        <f t="shared" si="9"/>
        <v>no rating</v>
      </c>
      <c r="F195" s="2" t="s">
        <v>82</v>
      </c>
      <c r="G195" t="s">
        <v>20</v>
      </c>
      <c r="H195" s="2" t="s">
        <v>901</v>
      </c>
      <c r="I195" s="3" t="str" cm="1">
        <f t="array" ref="I195">_xlfn.IFS(VALUE(TRIM(H195))&lt;300,"Short",VALUE(TRIM(H195))&lt;450,"Medium",VALUE(TRIM(H195))&lt;750,"Long",TRUE,"Very Long")</f>
        <v>Short</v>
      </c>
      <c r="J195" t="s">
        <v>909</v>
      </c>
      <c r="K195" t="str" cm="1">
        <f t="array" ref="K195">_xlfn.IFS(VALUE(TRIM(J195))&lt;0,"BC",VALUE(TRIM(J195))&lt;200,"100",VALUE(TRIM(J195))&lt;800,"700",VALUE(TRIM(J195))&lt;900,"800",VALUE(TRIM(J195))&lt;1000,"900",VALUE(TRIM(J195))&lt;1100,"1000",VALUE(TRIM(J195))&lt;1200,"1100",VALUE(TRIM(J195))&lt;1300,"1200",VALUE(TRIM(J195))&lt;1400,"1300",VALUE(TRIM(J195))&lt;1500,"1400",VALUE(TRIM(J195))&lt;1600,"1500",VALUE(TRIM(J195))&lt;1700,"1600",VALUE(TRIM(J195))&lt;1800,"1700",VALUE(TRIM(J195))&lt;1900,"1800",VALUE(TRIM(J195))&lt;2000,"1900",VALUE(TRIM(J195))&lt;2100,"2000")</f>
        <v>BC</v>
      </c>
      <c r="M195" s="1" t="str">
        <f t="shared" ref="M195:M258" si="11">IF(L195="","",TEXT(L195,"mm/yyyy"))</f>
        <v/>
      </c>
      <c r="N195" s="1" t="str">
        <f t="shared" si="10"/>
        <v>not read</v>
      </c>
      <c r="O195" t="s">
        <v>47</v>
      </c>
    </row>
    <row r="196" spans="1:15">
      <c r="A196" s="2" t="s">
        <v>910</v>
      </c>
      <c r="B196" t="s">
        <v>911</v>
      </c>
      <c r="C196" t="s">
        <v>912</v>
      </c>
      <c r="D196" s="2" t="s">
        <v>18</v>
      </c>
      <c r="E196" s="2" t="str">
        <f t="shared" si="9"/>
        <v>no rating</v>
      </c>
      <c r="F196" s="2" t="s">
        <v>43</v>
      </c>
      <c r="G196" t="s">
        <v>913</v>
      </c>
      <c r="H196" s="2" t="s">
        <v>237</v>
      </c>
      <c r="I196" s="3" t="str" cm="1">
        <f t="array" ref="I196">_xlfn.IFS(VALUE(TRIM(H196))&lt;300,"Short",VALUE(TRIM(H196))&lt;450,"Medium",VALUE(TRIM(H196))&lt;750,"Long",TRUE,"Very Long")</f>
        <v>Short</v>
      </c>
      <c r="J196" t="s">
        <v>426</v>
      </c>
      <c r="K196" t="str" cm="1">
        <f t="array" ref="K196">_xlfn.IFS(VALUE(TRIM(J196))&lt;0,"BC",VALUE(TRIM(J196))&lt;200,"100",VALUE(TRIM(J196))&lt;800,"700",VALUE(TRIM(J196))&lt;900,"800",VALUE(TRIM(J196))&lt;1000,"900",VALUE(TRIM(J196))&lt;1100,"1000",VALUE(TRIM(J196))&lt;1200,"1100",VALUE(TRIM(J196))&lt;1300,"1200",VALUE(TRIM(J196))&lt;1400,"1300",VALUE(TRIM(J196))&lt;1500,"1400",VALUE(TRIM(J196))&lt;1600,"1500",VALUE(TRIM(J196))&lt;1700,"1600",VALUE(TRIM(J196))&lt;1800,"1700",VALUE(TRIM(J196))&lt;1900,"1800",VALUE(TRIM(J196))&lt;2000,"1900",VALUE(TRIM(J196))&lt;2100,"2000")</f>
        <v>2000</v>
      </c>
      <c r="M196" s="1" t="str">
        <f t="shared" si="11"/>
        <v/>
      </c>
      <c r="N196" s="1" t="str">
        <f t="shared" si="10"/>
        <v>not read</v>
      </c>
      <c r="O196" t="s">
        <v>47</v>
      </c>
    </row>
    <row r="197" spans="1:15">
      <c r="A197" s="2" t="s">
        <v>914</v>
      </c>
      <c r="B197" t="s">
        <v>915</v>
      </c>
      <c r="C197" t="s">
        <v>916</v>
      </c>
      <c r="D197" s="2" t="s">
        <v>18</v>
      </c>
      <c r="E197" s="2" t="str">
        <f t="shared" si="9"/>
        <v>no rating</v>
      </c>
      <c r="F197" s="2" t="s">
        <v>28</v>
      </c>
      <c r="G197" t="s">
        <v>917</v>
      </c>
      <c r="H197" s="2" t="s">
        <v>918</v>
      </c>
      <c r="I197" s="3" t="str" cm="1">
        <f t="array" ref="I197">_xlfn.IFS(VALUE(TRIM(H197))&lt;300,"Short",VALUE(TRIM(H197))&lt;450,"Medium",VALUE(TRIM(H197))&lt;750,"Long",TRUE,"Very Long")</f>
        <v>Short</v>
      </c>
      <c r="J197" t="s">
        <v>46</v>
      </c>
      <c r="K197" t="str" cm="1">
        <f t="array" ref="K197">_xlfn.IFS(VALUE(TRIM(J197))&lt;0,"BC",VALUE(TRIM(J197))&lt;200,"100",VALUE(TRIM(J197))&lt;800,"700",VALUE(TRIM(J197))&lt;900,"800",VALUE(TRIM(J197))&lt;1000,"900",VALUE(TRIM(J197))&lt;1100,"1000",VALUE(TRIM(J197))&lt;1200,"1100",VALUE(TRIM(J197))&lt;1300,"1200",VALUE(TRIM(J197))&lt;1400,"1300",VALUE(TRIM(J197))&lt;1500,"1400",VALUE(TRIM(J197))&lt;1600,"1500",VALUE(TRIM(J197))&lt;1700,"1600",VALUE(TRIM(J197))&lt;1800,"1700",VALUE(TRIM(J197))&lt;1900,"1800",VALUE(TRIM(J197))&lt;2000,"1900",VALUE(TRIM(J197))&lt;2100,"2000")</f>
        <v>2000</v>
      </c>
      <c r="M197" s="1" t="str">
        <f t="shared" si="11"/>
        <v/>
      </c>
      <c r="N197" s="1" t="str">
        <f t="shared" si="10"/>
        <v>not read</v>
      </c>
      <c r="O197" t="s">
        <v>47</v>
      </c>
    </row>
    <row r="198" spans="1:15">
      <c r="A198" s="2" t="s">
        <v>919</v>
      </c>
      <c r="B198" t="s">
        <v>920</v>
      </c>
      <c r="C198" t="s">
        <v>921</v>
      </c>
      <c r="D198" s="2" t="s">
        <v>18</v>
      </c>
      <c r="E198" s="2" t="str">
        <f t="shared" si="9"/>
        <v>no rating</v>
      </c>
      <c r="F198" s="2" t="s">
        <v>43</v>
      </c>
      <c r="G198" t="s">
        <v>83</v>
      </c>
      <c r="H198" s="2" t="s">
        <v>204</v>
      </c>
      <c r="I198" s="3" t="str" cm="1">
        <f t="array" ref="I198">_xlfn.IFS(VALUE(TRIM(H198))&lt;300,"Short",VALUE(TRIM(H198))&lt;450,"Medium",VALUE(TRIM(H198))&lt;750,"Long",TRUE,"Very Long")</f>
        <v>Short</v>
      </c>
      <c r="J198" t="s">
        <v>922</v>
      </c>
      <c r="K198" t="str" cm="1">
        <f t="array" ref="K198">_xlfn.IFS(VALUE(TRIM(J198))&lt;0,"BC",VALUE(TRIM(J198))&lt;200,"100",VALUE(TRIM(J198))&lt;800,"700",VALUE(TRIM(J198))&lt;900,"800",VALUE(TRIM(J198))&lt;1000,"900",VALUE(TRIM(J198))&lt;1100,"1000",VALUE(TRIM(J198))&lt;1200,"1100",VALUE(TRIM(J198))&lt;1300,"1200",VALUE(TRIM(J198))&lt;1400,"1300",VALUE(TRIM(J198))&lt;1500,"1400",VALUE(TRIM(J198))&lt;1600,"1500",VALUE(TRIM(J198))&lt;1700,"1600",VALUE(TRIM(J198))&lt;1800,"1700",VALUE(TRIM(J198))&lt;1900,"1800",VALUE(TRIM(J198))&lt;2000,"1900",VALUE(TRIM(J198))&lt;2100,"2000")</f>
        <v>1900</v>
      </c>
      <c r="M198" s="1" t="str">
        <f t="shared" si="11"/>
        <v/>
      </c>
      <c r="N198" s="1" t="str">
        <f t="shared" si="10"/>
        <v>not read</v>
      </c>
      <c r="O198" t="s">
        <v>47</v>
      </c>
    </row>
    <row r="199" spans="1:15">
      <c r="A199" s="2" t="s">
        <v>923</v>
      </c>
      <c r="B199" t="s">
        <v>924</v>
      </c>
      <c r="C199" t="s">
        <v>300</v>
      </c>
      <c r="D199" s="2" t="s">
        <v>36</v>
      </c>
      <c r="E199" s="2" t="str">
        <f t="shared" si="9"/>
        <v>4</v>
      </c>
      <c r="F199" s="2" t="s">
        <v>43</v>
      </c>
      <c r="G199" t="s">
        <v>120</v>
      </c>
      <c r="H199" s="2" t="s">
        <v>925</v>
      </c>
      <c r="I199" s="3" t="str" cm="1">
        <f t="array" ref="I199">_xlfn.IFS(VALUE(TRIM(H199))&lt;300,"Short",VALUE(TRIM(H199))&lt;450,"Medium",VALUE(TRIM(H199))&lt;750,"Long",TRUE,"Very Long")</f>
        <v>Medium</v>
      </c>
      <c r="J199" t="s">
        <v>163</v>
      </c>
      <c r="K199" t="str" cm="1">
        <f t="array" ref="K199">_xlfn.IFS(VALUE(TRIM(J199))&lt;0,"BC",VALUE(TRIM(J199))&lt;200,"100",VALUE(TRIM(J199))&lt;800,"700",VALUE(TRIM(J199))&lt;900,"800",VALUE(TRIM(J199))&lt;1000,"900",VALUE(TRIM(J199))&lt;1100,"1000",VALUE(TRIM(J199))&lt;1200,"1100",VALUE(TRIM(J199))&lt;1300,"1200",VALUE(TRIM(J199))&lt;1400,"1300",VALUE(TRIM(J199))&lt;1500,"1400",VALUE(TRIM(J199))&lt;1600,"1500",VALUE(TRIM(J199))&lt;1700,"1600",VALUE(TRIM(J199))&lt;1800,"1700",VALUE(TRIM(J199))&lt;1900,"1800",VALUE(TRIM(J199))&lt;2000,"1900",VALUE(TRIM(J199))&lt;2100,"2000")</f>
        <v>2000</v>
      </c>
      <c r="L199" s="1">
        <v>45452</v>
      </c>
      <c r="M199" s="1" t="str">
        <f t="shared" si="11"/>
        <v>06/2024</v>
      </c>
      <c r="N199" s="1">
        <f t="shared" si="10"/>
        <v>45452</v>
      </c>
      <c r="O199" t="s">
        <v>32</v>
      </c>
    </row>
    <row r="200" spans="1:15">
      <c r="A200" s="2" t="s">
        <v>926</v>
      </c>
      <c r="B200" t="s">
        <v>927</v>
      </c>
      <c r="C200" t="s">
        <v>512</v>
      </c>
      <c r="D200" s="2" t="s">
        <v>27</v>
      </c>
      <c r="E200" s="2" t="str">
        <f t="shared" si="9"/>
        <v>3</v>
      </c>
      <c r="F200" s="2" t="s">
        <v>82</v>
      </c>
      <c r="G200" t="s">
        <v>928</v>
      </c>
      <c r="H200" s="2" t="s">
        <v>929</v>
      </c>
      <c r="I200" s="3" t="str" cm="1">
        <f t="array" ref="I200">_xlfn.IFS(VALUE(TRIM(H200))&lt;300,"Short",VALUE(TRIM(H200))&lt;450,"Medium",VALUE(TRIM(H200))&lt;750,"Long",TRUE,"Very Long")</f>
        <v>Short</v>
      </c>
      <c r="J200" t="s">
        <v>834</v>
      </c>
      <c r="K200" t="str" cm="1">
        <f t="array" ref="K200">_xlfn.IFS(VALUE(TRIM(J200))&lt;0,"BC",VALUE(TRIM(J200))&lt;200,"100",VALUE(TRIM(J200))&lt;800,"700",VALUE(TRIM(J200))&lt;900,"800",VALUE(TRIM(J200))&lt;1000,"900",VALUE(TRIM(J200))&lt;1100,"1000",VALUE(TRIM(J200))&lt;1200,"1100",VALUE(TRIM(J200))&lt;1300,"1200",VALUE(TRIM(J200))&lt;1400,"1300",VALUE(TRIM(J200))&lt;1500,"1400",VALUE(TRIM(J200))&lt;1600,"1500",VALUE(TRIM(J200))&lt;1700,"1600",VALUE(TRIM(J200))&lt;1800,"1700",VALUE(TRIM(J200))&lt;1900,"1800",VALUE(TRIM(J200))&lt;2000,"1900",VALUE(TRIM(J200))&lt;2100,"2000")</f>
        <v>1900</v>
      </c>
      <c r="L200" s="1">
        <v>45451</v>
      </c>
      <c r="M200" s="1" t="str">
        <f t="shared" si="11"/>
        <v>06/2024</v>
      </c>
      <c r="N200" s="1">
        <f t="shared" si="10"/>
        <v>45451</v>
      </c>
      <c r="O200" t="s">
        <v>32</v>
      </c>
    </row>
    <row r="201" spans="1:15">
      <c r="A201" s="2" t="s">
        <v>930</v>
      </c>
      <c r="B201" t="s">
        <v>931</v>
      </c>
      <c r="C201" t="s">
        <v>932</v>
      </c>
      <c r="D201" s="2" t="s">
        <v>18</v>
      </c>
      <c r="E201" s="2" t="str">
        <f t="shared" si="9"/>
        <v>no rating</v>
      </c>
      <c r="F201" s="2" t="s">
        <v>89</v>
      </c>
      <c r="G201" t="s">
        <v>933</v>
      </c>
      <c r="H201" s="2" t="s">
        <v>574</v>
      </c>
      <c r="I201" s="3" t="str" cm="1">
        <f t="array" ref="I201">_xlfn.IFS(VALUE(TRIM(H201))&lt;300,"Short",VALUE(TRIM(H201))&lt;450,"Medium",VALUE(TRIM(H201))&lt;750,"Long",TRUE,"Very Long")</f>
        <v>Short</v>
      </c>
      <c r="J201" t="s">
        <v>453</v>
      </c>
      <c r="K201" t="str" cm="1">
        <f t="array" ref="K201">_xlfn.IFS(VALUE(TRIM(J201))&lt;0,"BC",VALUE(TRIM(J201))&lt;200,"100",VALUE(TRIM(J201))&lt;800,"700",VALUE(TRIM(J201))&lt;900,"800",VALUE(TRIM(J201))&lt;1000,"900",VALUE(TRIM(J201))&lt;1100,"1000",VALUE(TRIM(J201))&lt;1200,"1100",VALUE(TRIM(J201))&lt;1300,"1200",VALUE(TRIM(J201))&lt;1400,"1300",VALUE(TRIM(J201))&lt;1500,"1400",VALUE(TRIM(J201))&lt;1600,"1500",VALUE(TRIM(J201))&lt;1700,"1600",VALUE(TRIM(J201))&lt;1800,"1700",VALUE(TRIM(J201))&lt;1900,"1800",VALUE(TRIM(J201))&lt;2000,"1900",VALUE(TRIM(J201))&lt;2100,"2000")</f>
        <v>2000</v>
      </c>
      <c r="M201" s="1" t="str">
        <f t="shared" si="11"/>
        <v/>
      </c>
      <c r="N201" s="1" t="str">
        <f t="shared" si="10"/>
        <v>not read</v>
      </c>
      <c r="O201" t="s">
        <v>47</v>
      </c>
    </row>
    <row r="202" spans="1:15">
      <c r="A202" s="2" t="s">
        <v>934</v>
      </c>
      <c r="B202" t="s">
        <v>935</v>
      </c>
      <c r="C202" t="s">
        <v>804</v>
      </c>
      <c r="D202" s="2" t="s">
        <v>18</v>
      </c>
      <c r="E202" s="2" t="str">
        <f t="shared" si="9"/>
        <v>no rating</v>
      </c>
      <c r="F202" s="2" t="s">
        <v>178</v>
      </c>
      <c r="G202" t="s">
        <v>20</v>
      </c>
      <c r="H202" s="2" t="s">
        <v>526</v>
      </c>
      <c r="I202" s="3" t="str" cm="1">
        <f t="array" ref="I202">_xlfn.IFS(VALUE(TRIM(H202))&lt;300,"Short",VALUE(TRIM(H202))&lt;450,"Medium",VALUE(TRIM(H202))&lt;750,"Long",TRUE,"Very Long")</f>
        <v>Short</v>
      </c>
      <c r="J202" t="s">
        <v>936</v>
      </c>
      <c r="K202" t="str" cm="1">
        <f t="array" ref="K202">_xlfn.IFS(VALUE(TRIM(J202))&lt;0,"BC",VALUE(TRIM(J202))&lt;200,"100",VALUE(TRIM(J202))&lt;800,"700",VALUE(TRIM(J202))&lt;900,"800",VALUE(TRIM(J202))&lt;1000,"900",VALUE(TRIM(J202))&lt;1100,"1000",VALUE(TRIM(J202))&lt;1200,"1100",VALUE(TRIM(J202))&lt;1300,"1200",VALUE(TRIM(J202))&lt;1400,"1300",VALUE(TRIM(J202))&lt;1500,"1400",VALUE(TRIM(J202))&lt;1600,"1500",VALUE(TRIM(J202))&lt;1700,"1600",VALUE(TRIM(J202))&lt;1800,"1700",VALUE(TRIM(J202))&lt;1900,"1800",VALUE(TRIM(J202))&lt;2000,"1900",VALUE(TRIM(J202))&lt;2100,"2000")</f>
        <v>1900</v>
      </c>
      <c r="M202" s="1" t="str">
        <f t="shared" si="11"/>
        <v/>
      </c>
      <c r="N202" s="1" t="str">
        <f t="shared" si="10"/>
        <v>not read</v>
      </c>
      <c r="O202" t="s">
        <v>47</v>
      </c>
    </row>
    <row r="203" spans="1:15">
      <c r="A203" s="2" t="s">
        <v>937</v>
      </c>
      <c r="B203" t="s">
        <v>938</v>
      </c>
      <c r="C203" t="s">
        <v>17</v>
      </c>
      <c r="D203" s="2" t="s">
        <v>18</v>
      </c>
      <c r="E203" s="2" t="str">
        <f t="shared" si="9"/>
        <v>no rating</v>
      </c>
      <c r="F203" s="2" t="s">
        <v>82</v>
      </c>
      <c r="G203" t="s">
        <v>939</v>
      </c>
      <c r="H203" s="2" t="s">
        <v>940</v>
      </c>
      <c r="I203" s="3" t="str" cm="1">
        <f t="array" ref="I203">_xlfn.IFS(VALUE(TRIM(H203))&lt;300,"Short",VALUE(TRIM(H203))&lt;450,"Medium",VALUE(TRIM(H203))&lt;750,"Long",TRUE,"Very Long")</f>
        <v>Short</v>
      </c>
      <c r="J203" t="s">
        <v>941</v>
      </c>
      <c r="K203" t="str" cm="1">
        <f t="array" ref="K203">_xlfn.IFS(VALUE(TRIM(J203))&lt;0,"BC",VALUE(TRIM(J203))&lt;200,"100",VALUE(TRIM(J203))&lt;800,"700",VALUE(TRIM(J203))&lt;900,"800",VALUE(TRIM(J203))&lt;1000,"900",VALUE(TRIM(J203))&lt;1100,"1000",VALUE(TRIM(J203))&lt;1200,"1100",VALUE(TRIM(J203))&lt;1300,"1200",VALUE(TRIM(J203))&lt;1400,"1300",VALUE(TRIM(J203))&lt;1500,"1400",VALUE(TRIM(J203))&lt;1600,"1500",VALUE(TRIM(J203))&lt;1700,"1600",VALUE(TRIM(J203))&lt;1800,"1700",VALUE(TRIM(J203))&lt;1900,"1800",VALUE(TRIM(J203))&lt;2000,"1900",VALUE(TRIM(J203))&lt;2100,"2000")</f>
        <v>1800</v>
      </c>
      <c r="L203" s="1">
        <v>43708</v>
      </c>
      <c r="M203" s="1" t="str">
        <f t="shared" si="11"/>
        <v>08/2019</v>
      </c>
      <c r="N203" s="1">
        <f t="shared" si="10"/>
        <v>43708</v>
      </c>
      <c r="O203" t="s">
        <v>740</v>
      </c>
    </row>
    <row r="204" spans="1:15">
      <c r="A204" s="2" t="s">
        <v>942</v>
      </c>
      <c r="B204" t="s">
        <v>943</v>
      </c>
      <c r="C204" t="s">
        <v>944</v>
      </c>
      <c r="D204" s="2" t="s">
        <v>18</v>
      </c>
      <c r="E204" s="2" t="str">
        <f t="shared" si="9"/>
        <v>no rating</v>
      </c>
      <c r="F204" s="2" t="s">
        <v>82</v>
      </c>
      <c r="G204" t="s">
        <v>108</v>
      </c>
      <c r="H204" s="2" t="s">
        <v>825</v>
      </c>
      <c r="I204" s="3" t="str" cm="1">
        <f t="array" ref="I204">_xlfn.IFS(VALUE(TRIM(H204))&lt;300,"Short",VALUE(TRIM(H204))&lt;450,"Medium",VALUE(TRIM(H204))&lt;750,"Long",TRUE,"Very Long")</f>
        <v>Medium</v>
      </c>
      <c r="J204" t="s">
        <v>945</v>
      </c>
      <c r="K204" t="str" cm="1">
        <f t="array" ref="K204">_xlfn.IFS(VALUE(TRIM(J204))&lt;0,"BC",VALUE(TRIM(J204))&lt;200,"100",VALUE(TRIM(J204))&lt;800,"700",VALUE(TRIM(J204))&lt;900,"800",VALUE(TRIM(J204))&lt;1000,"900",VALUE(TRIM(J204))&lt;1100,"1000",VALUE(TRIM(J204))&lt;1200,"1100",VALUE(TRIM(J204))&lt;1300,"1200",VALUE(TRIM(J204))&lt;1400,"1300",VALUE(TRIM(J204))&lt;1500,"1400",VALUE(TRIM(J204))&lt;1600,"1500",VALUE(TRIM(J204))&lt;1700,"1600",VALUE(TRIM(J204))&lt;1800,"1700",VALUE(TRIM(J204))&lt;1900,"1800",VALUE(TRIM(J204))&lt;2000,"1900",VALUE(TRIM(J204))&lt;2100,"2000")</f>
        <v>1900</v>
      </c>
      <c r="M204" s="1" t="str">
        <f t="shared" si="11"/>
        <v/>
      </c>
      <c r="N204" s="1" t="str">
        <f t="shared" si="10"/>
        <v>not read</v>
      </c>
      <c r="O204" t="s">
        <v>47</v>
      </c>
    </row>
    <row r="205" spans="1:15">
      <c r="A205" s="2" t="s">
        <v>946</v>
      </c>
      <c r="B205" t="s">
        <v>947</v>
      </c>
      <c r="C205" t="s">
        <v>948</v>
      </c>
      <c r="D205" s="2" t="s">
        <v>18</v>
      </c>
      <c r="E205" s="2" t="str">
        <f t="shared" si="9"/>
        <v>no rating</v>
      </c>
      <c r="F205" s="2" t="s">
        <v>43</v>
      </c>
      <c r="G205" t="s">
        <v>949</v>
      </c>
      <c r="H205" s="2" t="s">
        <v>950</v>
      </c>
      <c r="I205" s="3" t="str" cm="1">
        <f t="array" ref="I205">_xlfn.IFS(VALUE(TRIM(H205))&lt;300,"Short",VALUE(TRIM(H205))&lt;450,"Medium",VALUE(TRIM(H205))&lt;750,"Long",TRUE,"Very Long")</f>
        <v>Medium</v>
      </c>
      <c r="J205" t="s">
        <v>951</v>
      </c>
      <c r="K205" t="str" cm="1">
        <f t="array" ref="K205">_xlfn.IFS(VALUE(TRIM(J205))&lt;0,"BC",VALUE(TRIM(J205))&lt;200,"100",VALUE(TRIM(J205))&lt;800,"700",VALUE(TRIM(J205))&lt;900,"800",VALUE(TRIM(J205))&lt;1000,"900",VALUE(TRIM(J205))&lt;1100,"1000",VALUE(TRIM(J205))&lt;1200,"1100",VALUE(TRIM(J205))&lt;1300,"1200",VALUE(TRIM(J205))&lt;1400,"1300",VALUE(TRIM(J205))&lt;1500,"1400",VALUE(TRIM(J205))&lt;1600,"1500",VALUE(TRIM(J205))&lt;1700,"1600",VALUE(TRIM(J205))&lt;1800,"1700",VALUE(TRIM(J205))&lt;1900,"1800",VALUE(TRIM(J205))&lt;2000,"1900",VALUE(TRIM(J205))&lt;2100,"2000")</f>
        <v>1800</v>
      </c>
      <c r="M205" s="1" t="str">
        <f t="shared" si="11"/>
        <v/>
      </c>
      <c r="N205" s="1" t="str">
        <f t="shared" si="10"/>
        <v>not read</v>
      </c>
      <c r="O205" t="s">
        <v>47</v>
      </c>
    </row>
    <row r="206" spans="1:15">
      <c r="A206" s="2" t="s">
        <v>952</v>
      </c>
      <c r="B206" t="s">
        <v>953</v>
      </c>
      <c r="C206" t="s">
        <v>17</v>
      </c>
      <c r="D206" s="2" t="s">
        <v>18</v>
      </c>
      <c r="E206" s="2" t="str">
        <f t="shared" si="9"/>
        <v>no rating</v>
      </c>
      <c r="F206" s="2" t="s">
        <v>28</v>
      </c>
      <c r="G206" t="s">
        <v>954</v>
      </c>
      <c r="H206" s="2" t="s">
        <v>644</v>
      </c>
      <c r="I206" s="3" t="str" cm="1">
        <f t="array" ref="I206">_xlfn.IFS(VALUE(TRIM(H206))&lt;300,"Short",VALUE(TRIM(H206))&lt;450,"Medium",VALUE(TRIM(H206))&lt;750,"Long",TRUE,"Very Long")</f>
        <v>Short</v>
      </c>
      <c r="J206" t="s">
        <v>430</v>
      </c>
      <c r="K206" t="str" cm="1">
        <f t="array" ref="K206">_xlfn.IFS(VALUE(TRIM(J206))&lt;0,"BC",VALUE(TRIM(J206))&lt;200,"100",VALUE(TRIM(J206))&lt;800,"700",VALUE(TRIM(J206))&lt;900,"800",VALUE(TRIM(J206))&lt;1000,"900",VALUE(TRIM(J206))&lt;1100,"1000",VALUE(TRIM(J206))&lt;1200,"1100",VALUE(TRIM(J206))&lt;1300,"1200",VALUE(TRIM(J206))&lt;1400,"1300",VALUE(TRIM(J206))&lt;1500,"1400",VALUE(TRIM(J206))&lt;1600,"1500",VALUE(TRIM(J206))&lt;1700,"1600",VALUE(TRIM(J206))&lt;1800,"1700",VALUE(TRIM(J206))&lt;1900,"1800",VALUE(TRIM(J206))&lt;2000,"1900",VALUE(TRIM(J206))&lt;2100,"2000")</f>
        <v>1800</v>
      </c>
      <c r="M206" s="1" t="str">
        <f t="shared" si="11"/>
        <v/>
      </c>
      <c r="N206" s="1" t="str">
        <f t="shared" si="10"/>
        <v>not read</v>
      </c>
      <c r="O206" t="s">
        <v>47</v>
      </c>
    </row>
    <row r="207" spans="1:15">
      <c r="A207" s="2" t="s">
        <v>955</v>
      </c>
      <c r="B207" t="s">
        <v>956</v>
      </c>
      <c r="C207" t="s">
        <v>957</v>
      </c>
      <c r="D207" s="2" t="s">
        <v>18</v>
      </c>
      <c r="E207" s="2" t="str">
        <f t="shared" si="9"/>
        <v>no rating</v>
      </c>
      <c r="F207" s="2" t="s">
        <v>36</v>
      </c>
      <c r="G207" t="s">
        <v>70</v>
      </c>
      <c r="H207" s="2" t="s">
        <v>958</v>
      </c>
      <c r="I207" s="3" t="str" cm="1">
        <f t="array" ref="I207">_xlfn.IFS(VALUE(TRIM(H207))&lt;300,"Short",VALUE(TRIM(H207))&lt;450,"Medium",VALUE(TRIM(H207))&lt;750,"Long",TRUE,"Very Long")</f>
        <v>Medium</v>
      </c>
      <c r="J207" t="s">
        <v>662</v>
      </c>
      <c r="K207" t="str" cm="1">
        <f t="array" ref="K207">_xlfn.IFS(VALUE(TRIM(J207))&lt;0,"BC",VALUE(TRIM(J207))&lt;200,"100",VALUE(TRIM(J207))&lt;800,"700",VALUE(TRIM(J207))&lt;900,"800",VALUE(TRIM(J207))&lt;1000,"900",VALUE(TRIM(J207))&lt;1100,"1000",VALUE(TRIM(J207))&lt;1200,"1100",VALUE(TRIM(J207))&lt;1300,"1200",VALUE(TRIM(J207))&lt;1400,"1300",VALUE(TRIM(J207))&lt;1500,"1400",VALUE(TRIM(J207))&lt;1600,"1500",VALUE(TRIM(J207))&lt;1700,"1600",VALUE(TRIM(J207))&lt;1800,"1700",VALUE(TRIM(J207))&lt;1900,"1800",VALUE(TRIM(J207))&lt;2000,"1900",VALUE(TRIM(J207))&lt;2100,"2000")</f>
        <v>1900</v>
      </c>
      <c r="M207" s="1" t="str">
        <f t="shared" si="11"/>
        <v/>
      </c>
      <c r="N207" s="1" t="str">
        <f t="shared" si="10"/>
        <v>not read</v>
      </c>
      <c r="O207" t="s">
        <v>47</v>
      </c>
    </row>
    <row r="208" spans="1:15">
      <c r="A208" s="2" t="s">
        <v>959</v>
      </c>
      <c r="B208" t="s">
        <v>960</v>
      </c>
      <c r="C208" t="s">
        <v>961</v>
      </c>
      <c r="D208" s="2" t="s">
        <v>18</v>
      </c>
      <c r="E208" s="2" t="str">
        <f t="shared" si="9"/>
        <v>no rating</v>
      </c>
      <c r="F208" s="2" t="s">
        <v>19</v>
      </c>
      <c r="G208" t="s">
        <v>275</v>
      </c>
      <c r="H208" s="2" t="s">
        <v>962</v>
      </c>
      <c r="I208" s="3" t="str" cm="1">
        <f t="array" ref="I208">_xlfn.IFS(VALUE(TRIM(H208))&lt;300,"Short",VALUE(TRIM(H208))&lt;450,"Medium",VALUE(TRIM(H208))&lt;750,"Long",TRUE,"Very Long")</f>
        <v>Medium</v>
      </c>
      <c r="J208" t="s">
        <v>426</v>
      </c>
      <c r="K208" t="str" cm="1">
        <f t="array" ref="K208">_xlfn.IFS(VALUE(TRIM(J208))&lt;0,"BC",VALUE(TRIM(J208))&lt;200,"100",VALUE(TRIM(J208))&lt;800,"700",VALUE(TRIM(J208))&lt;900,"800",VALUE(TRIM(J208))&lt;1000,"900",VALUE(TRIM(J208))&lt;1100,"1000",VALUE(TRIM(J208))&lt;1200,"1100",VALUE(TRIM(J208))&lt;1300,"1200",VALUE(TRIM(J208))&lt;1400,"1300",VALUE(TRIM(J208))&lt;1500,"1400",VALUE(TRIM(J208))&lt;1600,"1500",VALUE(TRIM(J208))&lt;1700,"1600",VALUE(TRIM(J208))&lt;1800,"1700",VALUE(TRIM(J208))&lt;1900,"1800",VALUE(TRIM(J208))&lt;2000,"1900",VALUE(TRIM(J208))&lt;2100,"2000")</f>
        <v>2000</v>
      </c>
      <c r="M208" s="1" t="str">
        <f t="shared" si="11"/>
        <v/>
      </c>
      <c r="N208" s="1" t="str">
        <f t="shared" si="10"/>
        <v>not read</v>
      </c>
      <c r="O208" t="s">
        <v>47</v>
      </c>
    </row>
    <row r="209" spans="1:15">
      <c r="A209" s="2" t="s">
        <v>963</v>
      </c>
      <c r="B209" t="s">
        <v>964</v>
      </c>
      <c r="C209" t="s">
        <v>965</v>
      </c>
      <c r="D209" s="2" t="s">
        <v>18</v>
      </c>
      <c r="E209" s="2" t="str">
        <f t="shared" si="9"/>
        <v>no rating</v>
      </c>
      <c r="F209" s="2" t="s">
        <v>36</v>
      </c>
      <c r="G209" t="s">
        <v>966</v>
      </c>
      <c r="H209" s="2" t="s">
        <v>967</v>
      </c>
      <c r="I209" s="3" t="str" cm="1">
        <f t="array" ref="I209">_xlfn.IFS(VALUE(TRIM(H209))&lt;300,"Short",VALUE(TRIM(H209))&lt;450,"Medium",VALUE(TRIM(H209))&lt;750,"Long",TRUE,"Very Long")</f>
        <v>Medium</v>
      </c>
      <c r="J209" t="s">
        <v>150</v>
      </c>
      <c r="K209" t="str" cm="1">
        <f t="array" ref="K209">_xlfn.IFS(VALUE(TRIM(J209))&lt;0,"BC",VALUE(TRIM(J209))&lt;200,"100",VALUE(TRIM(J209))&lt;800,"700",VALUE(TRIM(J209))&lt;900,"800",VALUE(TRIM(J209))&lt;1000,"900",VALUE(TRIM(J209))&lt;1100,"1000",VALUE(TRIM(J209))&lt;1200,"1100",VALUE(TRIM(J209))&lt;1300,"1200",VALUE(TRIM(J209))&lt;1400,"1300",VALUE(TRIM(J209))&lt;1500,"1400",VALUE(TRIM(J209))&lt;1600,"1500",VALUE(TRIM(J209))&lt;1700,"1600",VALUE(TRIM(J209))&lt;1800,"1700",VALUE(TRIM(J209))&lt;1900,"1800",VALUE(TRIM(J209))&lt;2000,"1900",VALUE(TRIM(J209))&lt;2100,"2000")</f>
        <v>2000</v>
      </c>
      <c r="L209" s="1">
        <v>45437</v>
      </c>
      <c r="M209" s="1" t="str">
        <f t="shared" si="11"/>
        <v>05/2024</v>
      </c>
      <c r="N209" s="1">
        <f t="shared" si="10"/>
        <v>45437</v>
      </c>
      <c r="O209" t="s">
        <v>740</v>
      </c>
    </row>
    <row r="210" spans="1:15">
      <c r="A210" s="2" t="s">
        <v>968</v>
      </c>
      <c r="B210" t="s">
        <v>969</v>
      </c>
      <c r="C210" t="s">
        <v>970</v>
      </c>
      <c r="D210" s="2" t="s">
        <v>36</v>
      </c>
      <c r="E210" s="2" t="str">
        <f t="shared" si="9"/>
        <v>4</v>
      </c>
      <c r="F210" s="2" t="s">
        <v>19</v>
      </c>
      <c r="G210" t="s">
        <v>20</v>
      </c>
      <c r="H210" s="2" t="s">
        <v>173</v>
      </c>
      <c r="I210" s="3" t="str" cm="1">
        <f t="array" ref="I210">_xlfn.IFS(VALUE(TRIM(H210))&lt;300,"Short",VALUE(TRIM(H210))&lt;450,"Medium",VALUE(TRIM(H210))&lt;750,"Long",TRUE,"Very Long")</f>
        <v>Short</v>
      </c>
      <c r="J210" t="s">
        <v>971</v>
      </c>
      <c r="K210" t="str" cm="1">
        <f t="array" ref="K210">_xlfn.IFS(VALUE(TRIM(J210))&lt;0,"BC",VALUE(TRIM(J210))&lt;200,"100",VALUE(TRIM(J210))&lt;800,"700",VALUE(TRIM(J210))&lt;900,"800",VALUE(TRIM(J210))&lt;1000,"900",VALUE(TRIM(J210))&lt;1100,"1000",VALUE(TRIM(J210))&lt;1200,"1100",VALUE(TRIM(J210))&lt;1300,"1200",VALUE(TRIM(J210))&lt;1400,"1300",VALUE(TRIM(J210))&lt;1500,"1400",VALUE(TRIM(J210))&lt;1600,"1500",VALUE(TRIM(J210))&lt;1700,"1600",VALUE(TRIM(J210))&lt;1800,"1700",VALUE(TRIM(J210))&lt;1900,"1800",VALUE(TRIM(J210))&lt;2000,"1900",VALUE(TRIM(J210))&lt;2100,"2000")</f>
        <v>1800</v>
      </c>
      <c r="L210" s="1">
        <v>45437</v>
      </c>
      <c r="M210" s="1" t="str">
        <f t="shared" si="11"/>
        <v>05/2024</v>
      </c>
      <c r="N210" s="1">
        <f t="shared" si="10"/>
        <v>45437</v>
      </c>
      <c r="O210" t="s">
        <v>32</v>
      </c>
    </row>
    <row r="211" spans="1:15">
      <c r="A211" s="2" t="s">
        <v>972</v>
      </c>
      <c r="B211" t="s">
        <v>973</v>
      </c>
      <c r="C211" t="s">
        <v>406</v>
      </c>
      <c r="D211" s="2" t="s">
        <v>18</v>
      </c>
      <c r="E211" s="2" t="str">
        <f t="shared" si="9"/>
        <v>no rating</v>
      </c>
      <c r="F211" s="2" t="s">
        <v>19</v>
      </c>
      <c r="G211" t="s">
        <v>407</v>
      </c>
      <c r="H211" s="2" t="s">
        <v>974</v>
      </c>
      <c r="I211" s="3" t="str" cm="1">
        <f t="array" ref="I211">_xlfn.IFS(VALUE(TRIM(H211))&lt;300,"Short",VALUE(TRIM(H211))&lt;450,"Medium",VALUE(TRIM(H211))&lt;750,"Long",TRUE,"Very Long")</f>
        <v>Short</v>
      </c>
      <c r="J211" t="s">
        <v>975</v>
      </c>
      <c r="K211" t="str" cm="1">
        <f t="array" ref="K211">_xlfn.IFS(VALUE(TRIM(J211))&lt;0,"BC",VALUE(TRIM(J211))&lt;200,"100",VALUE(TRIM(J211))&lt;800,"700",VALUE(TRIM(J211))&lt;900,"800",VALUE(TRIM(J211))&lt;1000,"900",VALUE(TRIM(J211))&lt;1100,"1000",VALUE(TRIM(J211))&lt;1200,"1100",VALUE(TRIM(J211))&lt;1300,"1200",VALUE(TRIM(J211))&lt;1400,"1300",VALUE(TRIM(J211))&lt;1500,"1400",VALUE(TRIM(J211))&lt;1600,"1500",VALUE(TRIM(J211))&lt;1700,"1600",VALUE(TRIM(J211))&lt;1800,"1700",VALUE(TRIM(J211))&lt;1900,"1800",VALUE(TRIM(J211))&lt;2000,"1900",VALUE(TRIM(J211))&lt;2100,"2000")</f>
        <v>1900</v>
      </c>
      <c r="M211" s="1" t="str">
        <f t="shared" si="11"/>
        <v/>
      </c>
      <c r="N211" s="1" t="str">
        <f t="shared" si="10"/>
        <v>not read</v>
      </c>
      <c r="O211" t="s">
        <v>47</v>
      </c>
    </row>
    <row r="212" spans="1:15">
      <c r="A212" s="2" t="s">
        <v>976</v>
      </c>
      <c r="B212" t="s">
        <v>977</v>
      </c>
      <c r="C212" t="s">
        <v>978</v>
      </c>
      <c r="D212" s="2" t="s">
        <v>18</v>
      </c>
      <c r="E212" s="2" t="str">
        <f t="shared" si="9"/>
        <v>no rating</v>
      </c>
      <c r="F212" s="2" t="s">
        <v>69</v>
      </c>
      <c r="G212" t="s">
        <v>979</v>
      </c>
      <c r="H212" s="2" t="s">
        <v>761</v>
      </c>
      <c r="I212" s="3" t="str" cm="1">
        <f t="array" ref="I212">_xlfn.IFS(VALUE(TRIM(H212))&lt;300,"Short",VALUE(TRIM(H212))&lt;450,"Medium",VALUE(TRIM(H212))&lt;750,"Long",TRUE,"Very Long")</f>
        <v>Short</v>
      </c>
      <c r="J212" t="s">
        <v>980</v>
      </c>
      <c r="K212" t="str" cm="1">
        <f t="array" ref="K212">_xlfn.IFS(VALUE(TRIM(J212))&lt;0,"BC",VALUE(TRIM(J212))&lt;200,"100",VALUE(TRIM(J212))&lt;800,"700",VALUE(TRIM(J212))&lt;900,"800",VALUE(TRIM(J212))&lt;1000,"900",VALUE(TRIM(J212))&lt;1100,"1000",VALUE(TRIM(J212))&lt;1200,"1100",VALUE(TRIM(J212))&lt;1300,"1200",VALUE(TRIM(J212))&lt;1400,"1300",VALUE(TRIM(J212))&lt;1500,"1400",VALUE(TRIM(J212))&lt;1600,"1500",VALUE(TRIM(J212))&lt;1700,"1600",VALUE(TRIM(J212))&lt;1800,"1700",VALUE(TRIM(J212))&lt;1900,"1800",VALUE(TRIM(J212))&lt;2000,"1900",VALUE(TRIM(J212))&lt;2100,"2000")</f>
        <v>1900</v>
      </c>
      <c r="M212" s="1" t="str">
        <f t="shared" si="11"/>
        <v/>
      </c>
      <c r="N212" s="1" t="str">
        <f t="shared" si="10"/>
        <v>not read</v>
      </c>
      <c r="O212" t="s">
        <v>47</v>
      </c>
    </row>
    <row r="213" spans="1:15">
      <c r="A213" s="2" t="s">
        <v>981</v>
      </c>
      <c r="B213" t="s">
        <v>982</v>
      </c>
      <c r="C213" t="s">
        <v>983</v>
      </c>
      <c r="D213" s="2" t="s">
        <v>27</v>
      </c>
      <c r="E213" s="2" t="str">
        <f t="shared" si="9"/>
        <v>3</v>
      </c>
      <c r="F213" s="2" t="s">
        <v>82</v>
      </c>
      <c r="G213" t="s">
        <v>984</v>
      </c>
      <c r="H213" s="2" t="s">
        <v>985</v>
      </c>
      <c r="I213" s="3" t="str" cm="1">
        <f t="array" ref="I213">_xlfn.IFS(VALUE(TRIM(H213))&lt;300,"Short",VALUE(TRIM(H213))&lt;450,"Medium",VALUE(TRIM(H213))&lt;750,"Long",TRUE,"Very Long")</f>
        <v>Short</v>
      </c>
      <c r="J213" t="s">
        <v>130</v>
      </c>
      <c r="K213" t="str" cm="1">
        <f t="array" ref="K213">_xlfn.IFS(VALUE(TRIM(J213))&lt;0,"BC",VALUE(TRIM(J213))&lt;200,"100",VALUE(TRIM(J213))&lt;800,"700",VALUE(TRIM(J213))&lt;900,"800",VALUE(TRIM(J213))&lt;1000,"900",VALUE(TRIM(J213))&lt;1100,"1000",VALUE(TRIM(J213))&lt;1200,"1100",VALUE(TRIM(J213))&lt;1300,"1200",VALUE(TRIM(J213))&lt;1400,"1300",VALUE(TRIM(J213))&lt;1500,"1400",VALUE(TRIM(J213))&lt;1600,"1500",VALUE(TRIM(J213))&lt;1700,"1600",VALUE(TRIM(J213))&lt;1800,"1700",VALUE(TRIM(J213))&lt;1900,"1800",VALUE(TRIM(J213))&lt;2000,"1900",VALUE(TRIM(J213))&lt;2100,"2000")</f>
        <v>1900</v>
      </c>
      <c r="L213" s="1">
        <v>45413</v>
      </c>
      <c r="M213" s="1" t="str">
        <f t="shared" si="11"/>
        <v>05/2024</v>
      </c>
      <c r="N213" s="1">
        <f t="shared" si="10"/>
        <v>45413</v>
      </c>
      <c r="O213" t="s">
        <v>32</v>
      </c>
    </row>
    <row r="214" spans="1:15">
      <c r="A214" s="2" t="s">
        <v>986</v>
      </c>
      <c r="B214" t="s">
        <v>987</v>
      </c>
      <c r="C214" t="s">
        <v>988</v>
      </c>
      <c r="D214" s="2" t="s">
        <v>27</v>
      </c>
      <c r="E214" s="2" t="str">
        <f t="shared" si="9"/>
        <v>3</v>
      </c>
      <c r="F214" s="2" t="s">
        <v>19</v>
      </c>
      <c r="G214" t="s">
        <v>465</v>
      </c>
      <c r="H214" s="2" t="s">
        <v>989</v>
      </c>
      <c r="I214" s="3" t="str" cm="1">
        <f t="array" ref="I214">_xlfn.IFS(VALUE(TRIM(H214))&lt;300,"Short",VALUE(TRIM(H214))&lt;450,"Medium",VALUE(TRIM(H214))&lt;750,"Long",TRUE,"Very Long")</f>
        <v>Medium</v>
      </c>
      <c r="J214" t="s">
        <v>104</v>
      </c>
      <c r="K214" t="str" cm="1">
        <f t="array" ref="K214">_xlfn.IFS(VALUE(TRIM(J214))&lt;0,"BC",VALUE(TRIM(J214))&lt;200,"100",VALUE(TRIM(J214))&lt;800,"700",VALUE(TRIM(J214))&lt;900,"800",VALUE(TRIM(J214))&lt;1000,"900",VALUE(TRIM(J214))&lt;1100,"1000",VALUE(TRIM(J214))&lt;1200,"1100",VALUE(TRIM(J214))&lt;1300,"1200",VALUE(TRIM(J214))&lt;1400,"1300",VALUE(TRIM(J214))&lt;1500,"1400",VALUE(TRIM(J214))&lt;1600,"1500",VALUE(TRIM(J214))&lt;1700,"1600",VALUE(TRIM(J214))&lt;1800,"1700",VALUE(TRIM(J214))&lt;1900,"1800",VALUE(TRIM(J214))&lt;2000,"1900",VALUE(TRIM(J214))&lt;2100,"2000")</f>
        <v>2000</v>
      </c>
      <c r="L214" s="1">
        <v>45412</v>
      </c>
      <c r="M214" s="1" t="str">
        <f t="shared" si="11"/>
        <v>04/2024</v>
      </c>
      <c r="N214" s="1">
        <f t="shared" si="10"/>
        <v>45412</v>
      </c>
      <c r="O214" t="s">
        <v>32</v>
      </c>
    </row>
    <row r="215" spans="1:15">
      <c r="A215" s="2" t="s">
        <v>990</v>
      </c>
      <c r="B215" t="s">
        <v>991</v>
      </c>
      <c r="C215" t="s">
        <v>992</v>
      </c>
      <c r="D215" s="2" t="s">
        <v>18</v>
      </c>
      <c r="E215" s="2" t="str">
        <f t="shared" si="9"/>
        <v>no rating</v>
      </c>
      <c r="F215" s="2" t="s">
        <v>43</v>
      </c>
      <c r="G215" t="s">
        <v>993</v>
      </c>
      <c r="H215" s="2" t="s">
        <v>994</v>
      </c>
      <c r="I215" s="3" t="str" cm="1">
        <f t="array" ref="I215">_xlfn.IFS(VALUE(TRIM(H215))&lt;300,"Short",VALUE(TRIM(H215))&lt;450,"Medium",VALUE(TRIM(H215))&lt;750,"Long",TRUE,"Very Long")</f>
        <v>Medium</v>
      </c>
      <c r="J215" t="s">
        <v>766</v>
      </c>
      <c r="K215" t="str" cm="1">
        <f t="array" ref="K215">_xlfn.IFS(VALUE(TRIM(J215))&lt;0,"BC",VALUE(TRIM(J215))&lt;200,"100",VALUE(TRIM(J215))&lt;800,"700",VALUE(TRIM(J215))&lt;900,"800",VALUE(TRIM(J215))&lt;1000,"900",VALUE(TRIM(J215))&lt;1100,"1000",VALUE(TRIM(J215))&lt;1200,"1100",VALUE(TRIM(J215))&lt;1300,"1200",VALUE(TRIM(J215))&lt;1400,"1300",VALUE(TRIM(J215))&lt;1500,"1400",VALUE(TRIM(J215))&lt;1600,"1500",VALUE(TRIM(J215))&lt;1700,"1600",VALUE(TRIM(J215))&lt;1800,"1700",VALUE(TRIM(J215))&lt;1900,"1800",VALUE(TRIM(J215))&lt;2000,"1900",VALUE(TRIM(J215))&lt;2100,"2000")</f>
        <v>1900</v>
      </c>
      <c r="M215" s="1" t="str">
        <f t="shared" si="11"/>
        <v/>
      </c>
      <c r="N215" s="1" t="str">
        <f t="shared" si="10"/>
        <v>not read</v>
      </c>
      <c r="O215" t="s">
        <v>47</v>
      </c>
    </row>
    <row r="216" spans="1:15">
      <c r="A216" s="2" t="s">
        <v>995</v>
      </c>
      <c r="B216" t="s">
        <v>996</v>
      </c>
      <c r="C216" t="s">
        <v>997</v>
      </c>
      <c r="D216" s="2" t="s">
        <v>18</v>
      </c>
      <c r="E216" s="2" t="str">
        <f t="shared" si="9"/>
        <v>no rating</v>
      </c>
      <c r="F216" s="2" t="s">
        <v>36</v>
      </c>
      <c r="G216" t="s">
        <v>20</v>
      </c>
      <c r="H216" s="2" t="s">
        <v>998</v>
      </c>
      <c r="I216" s="3" t="str" cm="1">
        <f t="array" ref="I216">_xlfn.IFS(VALUE(TRIM(H216))&lt;300,"Short",VALUE(TRIM(H216))&lt;450,"Medium",VALUE(TRIM(H216))&lt;750,"Long",TRUE,"Very Long")</f>
        <v>Short</v>
      </c>
      <c r="J216" t="s">
        <v>999</v>
      </c>
      <c r="K216" t="str" cm="1">
        <f t="array" ref="K216">_xlfn.IFS(VALUE(TRIM(J216))&lt;0,"BC",VALUE(TRIM(J216))&lt;200,"100",VALUE(TRIM(J216))&lt;800,"700",VALUE(TRIM(J216))&lt;900,"800",VALUE(TRIM(J216))&lt;1000,"900",VALUE(TRIM(J216))&lt;1100,"1000",VALUE(TRIM(J216))&lt;1200,"1100",VALUE(TRIM(J216))&lt;1300,"1200",VALUE(TRIM(J216))&lt;1400,"1300",VALUE(TRIM(J216))&lt;1500,"1400",VALUE(TRIM(J216))&lt;1600,"1500",VALUE(TRIM(J216))&lt;1700,"1600",VALUE(TRIM(J216))&lt;1800,"1700",VALUE(TRIM(J216))&lt;1900,"1800",VALUE(TRIM(J216))&lt;2000,"1900",VALUE(TRIM(J216))&lt;2100,"2000")</f>
        <v>1700</v>
      </c>
      <c r="M216" s="1" t="str">
        <f t="shared" si="11"/>
        <v/>
      </c>
      <c r="N216" s="1" t="str">
        <f t="shared" si="10"/>
        <v>not read</v>
      </c>
      <c r="O216" t="s">
        <v>47</v>
      </c>
    </row>
    <row r="217" spans="1:15">
      <c r="A217" s="2" t="s">
        <v>1000</v>
      </c>
      <c r="B217" t="s">
        <v>1001</v>
      </c>
      <c r="C217" t="s">
        <v>1002</v>
      </c>
      <c r="D217" s="2" t="s">
        <v>18</v>
      </c>
      <c r="E217" s="2" t="str">
        <f t="shared" si="9"/>
        <v>no rating</v>
      </c>
      <c r="F217" s="2" t="s">
        <v>43</v>
      </c>
      <c r="G217" t="s">
        <v>20</v>
      </c>
      <c r="H217" s="2" t="s">
        <v>998</v>
      </c>
      <c r="I217" s="3" t="str" cm="1">
        <f t="array" ref="I217">_xlfn.IFS(VALUE(TRIM(H217))&lt;300,"Short",VALUE(TRIM(H217))&lt;450,"Medium",VALUE(TRIM(H217))&lt;750,"Long",TRUE,"Very Long")</f>
        <v>Short</v>
      </c>
      <c r="J217" t="s">
        <v>1003</v>
      </c>
      <c r="K217" t="str" cm="1">
        <f t="array" ref="K217">_xlfn.IFS(VALUE(TRIM(J217))&lt;0,"BC",VALUE(TRIM(J217))&lt;200,"100",VALUE(TRIM(J217))&lt;800,"700",VALUE(TRIM(J217))&lt;900,"800",VALUE(TRIM(J217))&lt;1000,"900",VALUE(TRIM(J217))&lt;1100,"1000",VALUE(TRIM(J217))&lt;1200,"1100",VALUE(TRIM(J217))&lt;1300,"1200",VALUE(TRIM(J217))&lt;1400,"1300",VALUE(TRIM(J217))&lt;1500,"1400",VALUE(TRIM(J217))&lt;1600,"1500",VALUE(TRIM(J217))&lt;1700,"1600",VALUE(TRIM(J217))&lt;1800,"1700",VALUE(TRIM(J217))&lt;1900,"1800",VALUE(TRIM(J217))&lt;2000,"1900",VALUE(TRIM(J217))&lt;2100,"2000")</f>
        <v>BC</v>
      </c>
      <c r="M217" s="1" t="str">
        <f t="shared" si="11"/>
        <v/>
      </c>
      <c r="N217" s="1" t="str">
        <f t="shared" si="10"/>
        <v>not read</v>
      </c>
      <c r="O217" t="s">
        <v>47</v>
      </c>
    </row>
    <row r="218" spans="1:15">
      <c r="A218" s="2" t="s">
        <v>1004</v>
      </c>
      <c r="B218" t="s">
        <v>1005</v>
      </c>
      <c r="C218" t="s">
        <v>1006</v>
      </c>
      <c r="D218" s="2" t="s">
        <v>27</v>
      </c>
      <c r="E218" s="2" t="str">
        <f t="shared" si="9"/>
        <v>3</v>
      </c>
      <c r="F218" s="2" t="s">
        <v>69</v>
      </c>
      <c r="G218" t="s">
        <v>108</v>
      </c>
      <c r="H218" s="2" t="s">
        <v>173</v>
      </c>
      <c r="I218" s="3" t="str" cm="1">
        <f t="array" ref="I218">_xlfn.IFS(VALUE(TRIM(H218))&lt;300,"Short",VALUE(TRIM(H218))&lt;450,"Medium",VALUE(TRIM(H218))&lt;750,"Long",TRUE,"Very Long")</f>
        <v>Short</v>
      </c>
      <c r="J218" t="s">
        <v>168</v>
      </c>
      <c r="K218" t="str" cm="1">
        <f t="array" ref="K218">_xlfn.IFS(VALUE(TRIM(J218))&lt;0,"BC",VALUE(TRIM(J218))&lt;200,"100",VALUE(TRIM(J218))&lt;800,"700",VALUE(TRIM(J218))&lt;900,"800",VALUE(TRIM(J218))&lt;1000,"900",VALUE(TRIM(J218))&lt;1100,"1000",VALUE(TRIM(J218))&lt;1200,"1100",VALUE(TRIM(J218))&lt;1300,"1200",VALUE(TRIM(J218))&lt;1400,"1300",VALUE(TRIM(J218))&lt;1500,"1400",VALUE(TRIM(J218))&lt;1600,"1500",VALUE(TRIM(J218))&lt;1700,"1600",VALUE(TRIM(J218))&lt;1800,"1700",VALUE(TRIM(J218))&lt;1900,"1800",VALUE(TRIM(J218))&lt;2000,"1900",VALUE(TRIM(J218))&lt;2100,"2000")</f>
        <v>1900</v>
      </c>
      <c r="L218" s="1">
        <v>45386</v>
      </c>
      <c r="M218" s="1" t="str">
        <f t="shared" si="11"/>
        <v>04/2024</v>
      </c>
      <c r="N218" s="1">
        <f t="shared" si="10"/>
        <v>45386</v>
      </c>
      <c r="O218" t="s">
        <v>32</v>
      </c>
    </row>
    <row r="219" spans="1:15">
      <c r="A219" s="2" t="s">
        <v>1007</v>
      </c>
      <c r="B219" t="s">
        <v>1008</v>
      </c>
      <c r="C219" t="s">
        <v>1002</v>
      </c>
      <c r="D219" s="2" t="s">
        <v>36</v>
      </c>
      <c r="E219" s="2" t="str">
        <f t="shared" si="9"/>
        <v>4</v>
      </c>
      <c r="F219" s="2" t="s">
        <v>19</v>
      </c>
      <c r="G219" t="s">
        <v>20</v>
      </c>
      <c r="H219" s="2" t="s">
        <v>1009</v>
      </c>
      <c r="I219" s="3" t="str" cm="1">
        <f t="array" ref="I219">_xlfn.IFS(VALUE(TRIM(H219))&lt;300,"Short",VALUE(TRIM(H219))&lt;450,"Medium",VALUE(TRIM(H219))&lt;750,"Long",TRUE,"Very Long")</f>
        <v>Short</v>
      </c>
      <c r="J219" t="s">
        <v>1010</v>
      </c>
      <c r="K219" t="str" cm="1">
        <f t="array" ref="K219">_xlfn.IFS(VALUE(TRIM(J219))&lt;0,"BC",VALUE(TRIM(J219))&lt;200,"100",VALUE(TRIM(J219))&lt;800,"700",VALUE(TRIM(J219))&lt;900,"800",VALUE(TRIM(J219))&lt;1000,"900",VALUE(TRIM(J219))&lt;1100,"1000",VALUE(TRIM(J219))&lt;1200,"1100",VALUE(TRIM(J219))&lt;1300,"1200",VALUE(TRIM(J219))&lt;1400,"1300",VALUE(TRIM(J219))&lt;1500,"1400",VALUE(TRIM(J219))&lt;1600,"1500",VALUE(TRIM(J219))&lt;1700,"1600",VALUE(TRIM(J219))&lt;1800,"1700",VALUE(TRIM(J219))&lt;1900,"1800",VALUE(TRIM(J219))&lt;2000,"1900",VALUE(TRIM(J219))&lt;2100,"2000")</f>
        <v>BC</v>
      </c>
      <c r="L219" s="1">
        <v>45394</v>
      </c>
      <c r="M219" s="1" t="str">
        <f t="shared" si="11"/>
        <v>04/2024</v>
      </c>
      <c r="N219" s="1">
        <f t="shared" si="10"/>
        <v>45394</v>
      </c>
      <c r="O219" t="s">
        <v>32</v>
      </c>
    </row>
    <row r="220" spans="1:15">
      <c r="A220" s="2" t="s">
        <v>1011</v>
      </c>
      <c r="B220" t="s">
        <v>1012</v>
      </c>
      <c r="C220" t="s">
        <v>377</v>
      </c>
      <c r="D220" s="2" t="s">
        <v>18</v>
      </c>
      <c r="E220" s="2" t="str">
        <f t="shared" si="9"/>
        <v>no rating</v>
      </c>
      <c r="F220" s="2" t="s">
        <v>43</v>
      </c>
      <c r="G220" t="s">
        <v>649</v>
      </c>
      <c r="H220" s="2" t="s">
        <v>271</v>
      </c>
      <c r="I220" s="3" t="str" cm="1">
        <f t="array" ref="I220">_xlfn.IFS(VALUE(TRIM(H220))&lt;300,"Short",VALUE(TRIM(H220))&lt;450,"Medium",VALUE(TRIM(H220))&lt;750,"Long",TRUE,"Very Long")</f>
        <v>Medium</v>
      </c>
      <c r="J220" t="s">
        <v>31</v>
      </c>
      <c r="K220" t="str" cm="1">
        <f t="array" ref="K220">_xlfn.IFS(VALUE(TRIM(J220))&lt;0,"BC",VALUE(TRIM(J220))&lt;200,"100",VALUE(TRIM(J220))&lt;800,"700",VALUE(TRIM(J220))&lt;900,"800",VALUE(TRIM(J220))&lt;1000,"900",VALUE(TRIM(J220))&lt;1100,"1000",VALUE(TRIM(J220))&lt;1200,"1100",VALUE(TRIM(J220))&lt;1300,"1200",VALUE(TRIM(J220))&lt;1400,"1300",VALUE(TRIM(J220))&lt;1500,"1400",VALUE(TRIM(J220))&lt;1600,"1500",VALUE(TRIM(J220))&lt;1700,"1600",VALUE(TRIM(J220))&lt;1800,"1700",VALUE(TRIM(J220))&lt;1900,"1800",VALUE(TRIM(J220))&lt;2000,"1900",VALUE(TRIM(J220))&lt;2100,"2000")</f>
        <v>2000</v>
      </c>
      <c r="M220" s="1" t="str">
        <f t="shared" si="11"/>
        <v/>
      </c>
      <c r="N220" s="1" t="str">
        <f t="shared" si="10"/>
        <v>not read</v>
      </c>
      <c r="O220" t="s">
        <v>47</v>
      </c>
    </row>
    <row r="221" spans="1:15">
      <c r="A221" s="2" t="s">
        <v>1013</v>
      </c>
      <c r="B221" t="s">
        <v>1014</v>
      </c>
      <c r="C221" t="s">
        <v>387</v>
      </c>
      <c r="D221" s="2" t="s">
        <v>18</v>
      </c>
      <c r="E221" s="2" t="str">
        <f t="shared" si="9"/>
        <v>no rating</v>
      </c>
      <c r="F221" s="2" t="s">
        <v>43</v>
      </c>
      <c r="G221" t="s">
        <v>120</v>
      </c>
      <c r="H221" s="2" t="s">
        <v>1015</v>
      </c>
      <c r="I221" s="3" t="str" cm="1">
        <f t="array" ref="I221">_xlfn.IFS(VALUE(TRIM(H221))&lt;300,"Short",VALUE(TRIM(H221))&lt;450,"Medium",VALUE(TRIM(H221))&lt;750,"Long",TRUE,"Very Long")</f>
        <v>Medium</v>
      </c>
      <c r="J221" t="s">
        <v>259</v>
      </c>
      <c r="K221" t="str" cm="1">
        <f t="array" ref="K221">_xlfn.IFS(VALUE(TRIM(J221))&lt;0,"BC",VALUE(TRIM(J221))&lt;200,"100",VALUE(TRIM(J221))&lt;800,"700",VALUE(TRIM(J221))&lt;900,"800",VALUE(TRIM(J221))&lt;1000,"900",VALUE(TRIM(J221))&lt;1100,"1000",VALUE(TRIM(J221))&lt;1200,"1100",VALUE(TRIM(J221))&lt;1300,"1200",VALUE(TRIM(J221))&lt;1400,"1300",VALUE(TRIM(J221))&lt;1500,"1400",VALUE(TRIM(J221))&lt;1600,"1500",VALUE(TRIM(J221))&lt;1700,"1600",VALUE(TRIM(J221))&lt;1800,"1700",VALUE(TRIM(J221))&lt;1900,"1800",VALUE(TRIM(J221))&lt;2000,"1900",VALUE(TRIM(J221))&lt;2100,"2000")</f>
        <v>2000</v>
      </c>
      <c r="M221" s="1" t="str">
        <f t="shared" si="11"/>
        <v/>
      </c>
      <c r="N221" s="1" t="str">
        <f t="shared" si="10"/>
        <v>not read</v>
      </c>
      <c r="O221" t="s">
        <v>47</v>
      </c>
    </row>
    <row r="222" spans="1:15">
      <c r="A222" s="2" t="s">
        <v>1016</v>
      </c>
      <c r="B222" t="s">
        <v>1017</v>
      </c>
      <c r="C222" t="s">
        <v>464</v>
      </c>
      <c r="D222" s="2" t="s">
        <v>18</v>
      </c>
      <c r="E222" s="2" t="str">
        <f t="shared" si="9"/>
        <v>no rating</v>
      </c>
      <c r="F222" s="2" t="s">
        <v>43</v>
      </c>
      <c r="G222" t="s">
        <v>1018</v>
      </c>
      <c r="H222" s="2" t="s">
        <v>1019</v>
      </c>
      <c r="I222" s="3" t="str" cm="1">
        <f t="array" ref="I222">_xlfn.IFS(VALUE(TRIM(H222))&lt;300,"Short",VALUE(TRIM(H222))&lt;450,"Medium",VALUE(TRIM(H222))&lt;750,"Long",TRUE,"Very Long")</f>
        <v>Short</v>
      </c>
      <c r="J222" t="s">
        <v>139</v>
      </c>
      <c r="K222" t="str" cm="1">
        <f t="array" ref="K222">_xlfn.IFS(VALUE(TRIM(J222))&lt;0,"BC",VALUE(TRIM(J222))&lt;200,"100",VALUE(TRIM(J222))&lt;800,"700",VALUE(TRIM(J222))&lt;900,"800",VALUE(TRIM(J222))&lt;1000,"900",VALUE(TRIM(J222))&lt;1100,"1000",VALUE(TRIM(J222))&lt;1200,"1100",VALUE(TRIM(J222))&lt;1300,"1200",VALUE(TRIM(J222))&lt;1400,"1300",VALUE(TRIM(J222))&lt;1500,"1400",VALUE(TRIM(J222))&lt;1600,"1500",VALUE(TRIM(J222))&lt;1700,"1600",VALUE(TRIM(J222))&lt;1800,"1700",VALUE(TRIM(J222))&lt;1900,"1800",VALUE(TRIM(J222))&lt;2000,"1900",VALUE(TRIM(J222))&lt;2100,"2000")</f>
        <v>2000</v>
      </c>
      <c r="M222" s="1" t="str">
        <f t="shared" si="11"/>
        <v/>
      </c>
      <c r="N222" s="1" t="str">
        <f t="shared" si="10"/>
        <v>not read</v>
      </c>
      <c r="O222" t="s">
        <v>47</v>
      </c>
    </row>
    <row r="223" spans="1:15">
      <c r="A223" s="2" t="s">
        <v>1020</v>
      </c>
      <c r="B223" t="s">
        <v>1021</v>
      </c>
      <c r="C223" t="s">
        <v>1022</v>
      </c>
      <c r="D223" s="2" t="s">
        <v>18</v>
      </c>
      <c r="E223" s="2" t="str">
        <f t="shared" si="9"/>
        <v>no rating</v>
      </c>
      <c r="F223" s="2" t="s">
        <v>19</v>
      </c>
      <c r="G223" t="s">
        <v>1023</v>
      </c>
      <c r="H223" s="2" t="s">
        <v>348</v>
      </c>
      <c r="I223" s="3" t="str" cm="1">
        <f t="array" ref="I223">_xlfn.IFS(VALUE(TRIM(H223))&lt;300,"Short",VALUE(TRIM(H223))&lt;450,"Medium",VALUE(TRIM(H223))&lt;750,"Long",TRUE,"Very Long")</f>
        <v>Short</v>
      </c>
      <c r="J223" t="s">
        <v>163</v>
      </c>
      <c r="K223" t="str" cm="1">
        <f t="array" ref="K223">_xlfn.IFS(VALUE(TRIM(J223))&lt;0,"BC",VALUE(TRIM(J223))&lt;200,"100",VALUE(TRIM(J223))&lt;800,"700",VALUE(TRIM(J223))&lt;900,"800",VALUE(TRIM(J223))&lt;1000,"900",VALUE(TRIM(J223))&lt;1100,"1000",VALUE(TRIM(J223))&lt;1200,"1100",VALUE(TRIM(J223))&lt;1300,"1200",VALUE(TRIM(J223))&lt;1400,"1300",VALUE(TRIM(J223))&lt;1500,"1400",VALUE(TRIM(J223))&lt;1600,"1500",VALUE(TRIM(J223))&lt;1700,"1600",VALUE(TRIM(J223))&lt;1800,"1700",VALUE(TRIM(J223))&lt;1900,"1800",VALUE(TRIM(J223))&lt;2000,"1900",VALUE(TRIM(J223))&lt;2100,"2000")</f>
        <v>2000</v>
      </c>
      <c r="M223" s="1" t="str">
        <f t="shared" si="11"/>
        <v/>
      </c>
      <c r="N223" s="1" t="str">
        <f t="shared" si="10"/>
        <v>not read</v>
      </c>
      <c r="O223" t="s">
        <v>47</v>
      </c>
    </row>
    <row r="224" spans="1:15">
      <c r="A224" s="2" t="s">
        <v>1024</v>
      </c>
      <c r="B224" t="s">
        <v>1025</v>
      </c>
      <c r="C224" t="s">
        <v>1026</v>
      </c>
      <c r="D224" s="2" t="s">
        <v>18</v>
      </c>
      <c r="E224" s="2" t="str">
        <f t="shared" si="9"/>
        <v>no rating</v>
      </c>
      <c r="F224" s="2" t="s">
        <v>28</v>
      </c>
      <c r="G224" t="s">
        <v>1027</v>
      </c>
      <c r="H224" s="2" t="s">
        <v>30</v>
      </c>
      <c r="I224" s="3" t="str" cm="1">
        <f t="array" ref="I224">_xlfn.IFS(VALUE(TRIM(H224))&lt;300,"Short",VALUE(TRIM(H224))&lt;450,"Medium",VALUE(TRIM(H224))&lt;750,"Long",TRUE,"Very Long")</f>
        <v>Medium</v>
      </c>
      <c r="J224" t="s">
        <v>1028</v>
      </c>
      <c r="K224" t="str" cm="1">
        <f t="array" ref="K224">_xlfn.IFS(VALUE(TRIM(J224))&lt;0,"BC",VALUE(TRIM(J224))&lt;200,"100",VALUE(TRIM(J224))&lt;800,"700",VALUE(TRIM(J224))&lt;900,"800",VALUE(TRIM(J224))&lt;1000,"900",VALUE(TRIM(J224))&lt;1100,"1000",VALUE(TRIM(J224))&lt;1200,"1100",VALUE(TRIM(J224))&lt;1300,"1200",VALUE(TRIM(J224))&lt;1400,"1300",VALUE(TRIM(J224))&lt;1500,"1400",VALUE(TRIM(J224))&lt;1600,"1500",VALUE(TRIM(J224))&lt;1700,"1600",VALUE(TRIM(J224))&lt;1800,"1700",VALUE(TRIM(J224))&lt;1900,"1800",VALUE(TRIM(J224))&lt;2000,"1900",VALUE(TRIM(J224))&lt;2100,"2000")</f>
        <v>1800</v>
      </c>
      <c r="L224" s="1">
        <v>45389</v>
      </c>
      <c r="M224" s="1" t="str">
        <f t="shared" si="11"/>
        <v>04/2024</v>
      </c>
      <c r="N224" s="1">
        <f t="shared" si="10"/>
        <v>45389</v>
      </c>
      <c r="O224" t="s">
        <v>740</v>
      </c>
    </row>
    <row r="225" spans="1:15">
      <c r="A225" s="2" t="s">
        <v>1029</v>
      </c>
      <c r="B225" t="s">
        <v>1030</v>
      </c>
      <c r="C225" t="s">
        <v>1031</v>
      </c>
      <c r="D225" s="2" t="s">
        <v>18</v>
      </c>
      <c r="E225" s="2" t="str">
        <f t="shared" si="9"/>
        <v>no rating</v>
      </c>
      <c r="F225" s="2" t="s">
        <v>36</v>
      </c>
      <c r="G225" t="s">
        <v>490</v>
      </c>
      <c r="H225" s="2" t="s">
        <v>1032</v>
      </c>
      <c r="I225" s="3" t="str" cm="1">
        <f t="array" ref="I225">_xlfn.IFS(VALUE(TRIM(H225))&lt;300,"Short",VALUE(TRIM(H225))&lt;450,"Medium",VALUE(TRIM(H225))&lt;750,"Long",TRUE,"Very Long")</f>
        <v>Medium</v>
      </c>
      <c r="J225" t="s">
        <v>426</v>
      </c>
      <c r="K225" t="str" cm="1">
        <f t="array" ref="K225">_xlfn.IFS(VALUE(TRIM(J225))&lt;0,"BC",VALUE(TRIM(J225))&lt;200,"100",VALUE(TRIM(J225))&lt;800,"700",VALUE(TRIM(J225))&lt;900,"800",VALUE(TRIM(J225))&lt;1000,"900",VALUE(TRIM(J225))&lt;1100,"1000",VALUE(TRIM(J225))&lt;1200,"1100",VALUE(TRIM(J225))&lt;1300,"1200",VALUE(TRIM(J225))&lt;1400,"1300",VALUE(TRIM(J225))&lt;1500,"1400",VALUE(TRIM(J225))&lt;1600,"1500",VALUE(TRIM(J225))&lt;1700,"1600",VALUE(TRIM(J225))&lt;1800,"1700",VALUE(TRIM(J225))&lt;1900,"1800",VALUE(TRIM(J225))&lt;2000,"1900",VALUE(TRIM(J225))&lt;2100,"2000")</f>
        <v>2000</v>
      </c>
      <c r="M225" s="1" t="str">
        <f t="shared" si="11"/>
        <v/>
      </c>
      <c r="N225" s="1" t="str">
        <f t="shared" si="10"/>
        <v>not read</v>
      </c>
      <c r="O225" t="s">
        <v>47</v>
      </c>
    </row>
    <row r="226" spans="1:15">
      <c r="A226" s="2" t="s">
        <v>1033</v>
      </c>
      <c r="B226" t="s">
        <v>1034</v>
      </c>
      <c r="C226" t="s">
        <v>401</v>
      </c>
      <c r="D226" s="2" t="s">
        <v>36</v>
      </c>
      <c r="E226" s="2" t="str">
        <f t="shared" si="9"/>
        <v>4</v>
      </c>
      <c r="F226" s="2" t="s">
        <v>28</v>
      </c>
      <c r="G226" t="s">
        <v>1035</v>
      </c>
      <c r="H226" s="2" t="s">
        <v>1036</v>
      </c>
      <c r="I226" s="3" t="str" cm="1">
        <f t="array" ref="I226">_xlfn.IFS(VALUE(TRIM(H226))&lt;300,"Short",VALUE(TRIM(H226))&lt;450,"Medium",VALUE(TRIM(H226))&lt;750,"Long",TRUE,"Very Long")</f>
        <v>Short</v>
      </c>
      <c r="J226" t="s">
        <v>1037</v>
      </c>
      <c r="K226" t="str" cm="1">
        <f t="array" ref="K226">_xlfn.IFS(VALUE(TRIM(J226))&lt;0,"BC",VALUE(TRIM(J226))&lt;200,"100",VALUE(TRIM(J226))&lt;800,"700",VALUE(TRIM(J226))&lt;900,"800",VALUE(TRIM(J226))&lt;1000,"900",VALUE(TRIM(J226))&lt;1100,"1000",VALUE(TRIM(J226))&lt;1200,"1100",VALUE(TRIM(J226))&lt;1300,"1200",VALUE(TRIM(J226))&lt;1400,"1300",VALUE(TRIM(J226))&lt;1500,"1400",VALUE(TRIM(J226))&lt;1600,"1500",VALUE(TRIM(J226))&lt;1700,"1600",VALUE(TRIM(J226))&lt;1800,"1700",VALUE(TRIM(J226))&lt;1900,"1800",VALUE(TRIM(J226))&lt;2000,"1900",VALUE(TRIM(J226))&lt;2100,"2000")</f>
        <v>1900</v>
      </c>
      <c r="M226" s="1" t="str">
        <f t="shared" si="11"/>
        <v/>
      </c>
      <c r="N226" s="1" t="str">
        <f t="shared" si="10"/>
        <v>not read</v>
      </c>
      <c r="O226" t="s">
        <v>32</v>
      </c>
    </row>
    <row r="227" spans="1:15">
      <c r="A227" s="2" t="s">
        <v>1038</v>
      </c>
      <c r="B227" t="s">
        <v>1039</v>
      </c>
      <c r="C227" t="s">
        <v>1040</v>
      </c>
      <c r="D227" s="2" t="s">
        <v>18</v>
      </c>
      <c r="E227" s="2" t="str">
        <f t="shared" si="9"/>
        <v>no rating</v>
      </c>
      <c r="F227" s="2" t="s">
        <v>89</v>
      </c>
      <c r="G227" t="s">
        <v>465</v>
      </c>
      <c r="H227" s="2" t="s">
        <v>873</v>
      </c>
      <c r="I227" s="3" t="str" cm="1">
        <f t="array" ref="I227">_xlfn.IFS(VALUE(TRIM(H227))&lt;300,"Short",VALUE(TRIM(H227))&lt;450,"Medium",VALUE(TRIM(H227))&lt;750,"Long",TRUE,"Very Long")</f>
        <v>Short</v>
      </c>
      <c r="J227" t="s">
        <v>110</v>
      </c>
      <c r="K227" t="str" cm="1">
        <f t="array" ref="K227">_xlfn.IFS(VALUE(TRIM(J227))&lt;0,"BC",VALUE(TRIM(J227))&lt;200,"100",VALUE(TRIM(J227))&lt;800,"700",VALUE(TRIM(J227))&lt;900,"800",VALUE(TRIM(J227))&lt;1000,"900",VALUE(TRIM(J227))&lt;1100,"1000",VALUE(TRIM(J227))&lt;1200,"1100",VALUE(TRIM(J227))&lt;1300,"1200",VALUE(TRIM(J227))&lt;1400,"1300",VALUE(TRIM(J227))&lt;1500,"1400",VALUE(TRIM(J227))&lt;1600,"1500",VALUE(TRIM(J227))&lt;1700,"1600",VALUE(TRIM(J227))&lt;1800,"1700",VALUE(TRIM(J227))&lt;1900,"1800",VALUE(TRIM(J227))&lt;2000,"1900",VALUE(TRIM(J227))&lt;2100,"2000")</f>
        <v>2000</v>
      </c>
      <c r="M227" s="1" t="str">
        <f t="shared" si="11"/>
        <v/>
      </c>
      <c r="N227" s="1" t="str">
        <f t="shared" si="10"/>
        <v>not read</v>
      </c>
      <c r="O227" t="s">
        <v>47</v>
      </c>
    </row>
    <row r="228" spans="1:15">
      <c r="A228" s="2" t="s">
        <v>1041</v>
      </c>
      <c r="B228" t="s">
        <v>1042</v>
      </c>
      <c r="C228" t="s">
        <v>364</v>
      </c>
      <c r="D228" s="2" t="s">
        <v>18</v>
      </c>
      <c r="E228" s="2" t="str">
        <f t="shared" si="9"/>
        <v>no rating</v>
      </c>
      <c r="F228" s="2" t="s">
        <v>89</v>
      </c>
      <c r="G228" t="s">
        <v>365</v>
      </c>
      <c r="H228" s="2" t="s">
        <v>1043</v>
      </c>
      <c r="I228" s="3" t="str" cm="1">
        <f t="array" ref="I228">_xlfn.IFS(VALUE(TRIM(H228))&lt;300,"Short",VALUE(TRIM(H228))&lt;450,"Medium",VALUE(TRIM(H228))&lt;750,"Long",TRUE,"Very Long")</f>
        <v>Long</v>
      </c>
      <c r="J228" t="s">
        <v>208</v>
      </c>
      <c r="K228" t="str" cm="1">
        <f t="array" ref="K228">_xlfn.IFS(VALUE(TRIM(J228))&lt;0,"BC",VALUE(TRIM(J228))&lt;200,"100",VALUE(TRIM(J228))&lt;800,"700",VALUE(TRIM(J228))&lt;900,"800",VALUE(TRIM(J228))&lt;1000,"900",VALUE(TRIM(J228))&lt;1100,"1000",VALUE(TRIM(J228))&lt;1200,"1100",VALUE(TRIM(J228))&lt;1300,"1200",VALUE(TRIM(J228))&lt;1400,"1300",VALUE(TRIM(J228))&lt;1500,"1400",VALUE(TRIM(J228))&lt;1600,"1500",VALUE(TRIM(J228))&lt;1700,"1600",VALUE(TRIM(J228))&lt;1800,"1700",VALUE(TRIM(J228))&lt;1900,"1800",VALUE(TRIM(J228))&lt;2000,"1900",VALUE(TRIM(J228))&lt;2100,"2000")</f>
        <v>2000</v>
      </c>
      <c r="M228" s="1" t="str">
        <f t="shared" si="11"/>
        <v/>
      </c>
      <c r="N228" s="1" t="str">
        <f t="shared" si="10"/>
        <v>not read</v>
      </c>
      <c r="O228" t="s">
        <v>47</v>
      </c>
    </row>
    <row r="229" spans="1:15">
      <c r="A229" s="2" t="s">
        <v>1044</v>
      </c>
      <c r="B229" t="s">
        <v>1045</v>
      </c>
      <c r="C229" t="s">
        <v>749</v>
      </c>
      <c r="D229" s="2" t="s">
        <v>18</v>
      </c>
      <c r="E229" s="2" t="str">
        <f t="shared" si="9"/>
        <v>no rating</v>
      </c>
      <c r="F229" s="2" t="s">
        <v>82</v>
      </c>
      <c r="G229" t="s">
        <v>70</v>
      </c>
      <c r="H229" s="2" t="s">
        <v>1046</v>
      </c>
      <c r="I229" s="3" t="str" cm="1">
        <f t="array" ref="I229">_xlfn.IFS(VALUE(TRIM(H229))&lt;300,"Short",VALUE(TRIM(H229))&lt;450,"Medium",VALUE(TRIM(H229))&lt;750,"Long",TRUE,"Very Long")</f>
        <v>Medium</v>
      </c>
      <c r="J229" t="s">
        <v>1047</v>
      </c>
      <c r="K229" t="str" cm="1">
        <f t="array" ref="K229">_xlfn.IFS(VALUE(TRIM(J229))&lt;0,"BC",VALUE(TRIM(J229))&lt;200,"100",VALUE(TRIM(J229))&lt;800,"700",VALUE(TRIM(J229))&lt;900,"800",VALUE(TRIM(J229))&lt;1000,"900",VALUE(TRIM(J229))&lt;1100,"1000",VALUE(TRIM(J229))&lt;1200,"1100",VALUE(TRIM(J229))&lt;1300,"1200",VALUE(TRIM(J229))&lt;1400,"1300",VALUE(TRIM(J229))&lt;1500,"1400",VALUE(TRIM(J229))&lt;1600,"1500",VALUE(TRIM(J229))&lt;1700,"1600",VALUE(TRIM(J229))&lt;1800,"1700",VALUE(TRIM(J229))&lt;1900,"1800",VALUE(TRIM(J229))&lt;2000,"1900",VALUE(TRIM(J229))&lt;2100,"2000")</f>
        <v>1900</v>
      </c>
      <c r="M229" s="1" t="str">
        <f t="shared" si="11"/>
        <v/>
      </c>
      <c r="N229" s="1" t="str">
        <f t="shared" si="10"/>
        <v>not read</v>
      </c>
      <c r="O229" t="s">
        <v>47</v>
      </c>
    </row>
    <row r="230" spans="1:15">
      <c r="A230" s="2" t="s">
        <v>1048</v>
      </c>
      <c r="B230" t="s">
        <v>1049</v>
      </c>
      <c r="C230" t="s">
        <v>1050</v>
      </c>
      <c r="D230" s="2" t="s">
        <v>36</v>
      </c>
      <c r="E230" s="2" t="str">
        <f t="shared" si="9"/>
        <v>4</v>
      </c>
      <c r="F230" s="2" t="s">
        <v>28</v>
      </c>
      <c r="G230" t="s">
        <v>275</v>
      </c>
      <c r="H230" s="2" t="s">
        <v>204</v>
      </c>
      <c r="I230" s="3" t="str" cm="1">
        <f t="array" ref="I230">_xlfn.IFS(VALUE(TRIM(H230))&lt;300,"Short",VALUE(TRIM(H230))&lt;450,"Medium",VALUE(TRIM(H230))&lt;750,"Long",TRUE,"Very Long")</f>
        <v>Short</v>
      </c>
      <c r="J230" t="s">
        <v>163</v>
      </c>
      <c r="K230" t="str" cm="1">
        <f t="array" ref="K230">_xlfn.IFS(VALUE(TRIM(J230))&lt;0,"BC",VALUE(TRIM(J230))&lt;200,"100",VALUE(TRIM(J230))&lt;800,"700",VALUE(TRIM(J230))&lt;900,"800",VALUE(TRIM(J230))&lt;1000,"900",VALUE(TRIM(J230))&lt;1100,"1000",VALUE(TRIM(J230))&lt;1200,"1100",VALUE(TRIM(J230))&lt;1300,"1200",VALUE(TRIM(J230))&lt;1400,"1300",VALUE(TRIM(J230))&lt;1500,"1400",VALUE(TRIM(J230))&lt;1600,"1500",VALUE(TRIM(J230))&lt;1700,"1600",VALUE(TRIM(J230))&lt;1800,"1700",VALUE(TRIM(J230))&lt;1900,"1800",VALUE(TRIM(J230))&lt;2000,"1900",VALUE(TRIM(J230))&lt;2100,"2000")</f>
        <v>2000</v>
      </c>
      <c r="L230" s="1">
        <v>45378</v>
      </c>
      <c r="M230" s="1" t="str">
        <f t="shared" si="11"/>
        <v>03/2024</v>
      </c>
      <c r="N230" s="1">
        <f t="shared" si="10"/>
        <v>45378</v>
      </c>
      <c r="O230" t="s">
        <v>32</v>
      </c>
    </row>
    <row r="231" spans="1:15">
      <c r="A231" s="2" t="s">
        <v>1051</v>
      </c>
      <c r="B231" t="s">
        <v>1052</v>
      </c>
      <c r="C231" t="s">
        <v>1053</v>
      </c>
      <c r="D231" s="2" t="s">
        <v>18</v>
      </c>
      <c r="E231" s="2" t="str">
        <f t="shared" si="9"/>
        <v>no rating</v>
      </c>
      <c r="F231" s="2" t="s">
        <v>43</v>
      </c>
      <c r="G231" t="s">
        <v>125</v>
      </c>
      <c r="H231" s="2" t="s">
        <v>219</v>
      </c>
      <c r="I231" s="3" t="str" cm="1">
        <f t="array" ref="I231">_xlfn.IFS(VALUE(TRIM(H231))&lt;300,"Short",VALUE(TRIM(H231))&lt;450,"Medium",VALUE(TRIM(H231))&lt;750,"Long",TRUE,"Very Long")</f>
        <v>Medium</v>
      </c>
      <c r="J231" t="s">
        <v>104</v>
      </c>
      <c r="K231" t="str" cm="1">
        <f t="array" ref="K231">_xlfn.IFS(VALUE(TRIM(J231))&lt;0,"BC",VALUE(TRIM(J231))&lt;200,"100",VALUE(TRIM(J231))&lt;800,"700",VALUE(TRIM(J231))&lt;900,"800",VALUE(TRIM(J231))&lt;1000,"900",VALUE(TRIM(J231))&lt;1100,"1000",VALUE(TRIM(J231))&lt;1200,"1100",VALUE(TRIM(J231))&lt;1300,"1200",VALUE(TRIM(J231))&lt;1400,"1300",VALUE(TRIM(J231))&lt;1500,"1400",VALUE(TRIM(J231))&lt;1600,"1500",VALUE(TRIM(J231))&lt;1700,"1600",VALUE(TRIM(J231))&lt;1800,"1700",VALUE(TRIM(J231))&lt;1900,"1800",VALUE(TRIM(J231))&lt;2000,"1900",VALUE(TRIM(J231))&lt;2100,"2000")</f>
        <v>2000</v>
      </c>
      <c r="M231" s="1" t="str">
        <f t="shared" si="11"/>
        <v/>
      </c>
      <c r="N231" s="1" t="str">
        <f t="shared" si="10"/>
        <v>not read</v>
      </c>
      <c r="O231" t="s">
        <v>47</v>
      </c>
    </row>
    <row r="232" spans="1:15">
      <c r="A232" s="2" t="s">
        <v>1054</v>
      </c>
      <c r="B232" t="s">
        <v>1055</v>
      </c>
      <c r="C232" t="s">
        <v>1056</v>
      </c>
      <c r="D232" s="2" t="s">
        <v>18</v>
      </c>
      <c r="E232" s="2" t="str">
        <f t="shared" si="9"/>
        <v>no rating</v>
      </c>
      <c r="F232" s="2" t="s">
        <v>69</v>
      </c>
      <c r="G232" t="s">
        <v>108</v>
      </c>
      <c r="H232" s="2" t="s">
        <v>650</v>
      </c>
      <c r="I232" s="3" t="str" cm="1">
        <f t="array" ref="I232">_xlfn.IFS(VALUE(TRIM(H232))&lt;300,"Short",VALUE(TRIM(H232))&lt;450,"Medium",VALUE(TRIM(H232))&lt;750,"Long",TRUE,"Very Long")</f>
        <v>Medium</v>
      </c>
      <c r="J232" t="s">
        <v>31</v>
      </c>
      <c r="K232" t="str" cm="1">
        <f t="array" ref="K232">_xlfn.IFS(VALUE(TRIM(J232))&lt;0,"BC",VALUE(TRIM(J232))&lt;200,"100",VALUE(TRIM(J232))&lt;800,"700",VALUE(TRIM(J232))&lt;900,"800",VALUE(TRIM(J232))&lt;1000,"900",VALUE(TRIM(J232))&lt;1100,"1000",VALUE(TRIM(J232))&lt;1200,"1100",VALUE(TRIM(J232))&lt;1300,"1200",VALUE(TRIM(J232))&lt;1400,"1300",VALUE(TRIM(J232))&lt;1500,"1400",VALUE(TRIM(J232))&lt;1600,"1500",VALUE(TRIM(J232))&lt;1700,"1600",VALUE(TRIM(J232))&lt;1800,"1700",VALUE(TRIM(J232))&lt;1900,"1800",VALUE(TRIM(J232))&lt;2000,"1900",VALUE(TRIM(J232))&lt;2100,"2000")</f>
        <v>2000</v>
      </c>
      <c r="M232" s="1" t="str">
        <f t="shared" si="11"/>
        <v/>
      </c>
      <c r="N232" s="1" t="str">
        <f t="shared" si="10"/>
        <v>not read</v>
      </c>
      <c r="O232" t="s">
        <v>47</v>
      </c>
    </row>
    <row r="233" spans="1:15">
      <c r="A233" s="2" t="s">
        <v>1057</v>
      </c>
      <c r="B233" t="s">
        <v>1058</v>
      </c>
      <c r="C233" t="s">
        <v>1059</v>
      </c>
      <c r="D233" s="2" t="s">
        <v>18</v>
      </c>
      <c r="E233" s="2" t="str">
        <f t="shared" si="9"/>
        <v>no rating</v>
      </c>
      <c r="F233" s="2" t="s">
        <v>154</v>
      </c>
      <c r="G233" t="s">
        <v>1060</v>
      </c>
      <c r="H233" s="2" t="s">
        <v>469</v>
      </c>
      <c r="I233" s="3" t="str" cm="1">
        <f t="array" ref="I233">_xlfn.IFS(VALUE(TRIM(H233))&lt;300,"Short",VALUE(TRIM(H233))&lt;450,"Medium",VALUE(TRIM(H233))&lt;750,"Long",TRUE,"Very Long")</f>
        <v>Short</v>
      </c>
      <c r="J233" t="s">
        <v>238</v>
      </c>
      <c r="K233" t="str" cm="1">
        <f t="array" ref="K233">_xlfn.IFS(VALUE(TRIM(J233))&lt;0,"BC",VALUE(TRIM(J233))&lt;200,"100",VALUE(TRIM(J233))&lt;800,"700",VALUE(TRIM(J233))&lt;900,"800",VALUE(TRIM(J233))&lt;1000,"900",VALUE(TRIM(J233))&lt;1100,"1000",VALUE(TRIM(J233))&lt;1200,"1100",VALUE(TRIM(J233))&lt;1300,"1200",VALUE(TRIM(J233))&lt;1400,"1300",VALUE(TRIM(J233))&lt;1500,"1400",VALUE(TRIM(J233))&lt;1600,"1500",VALUE(TRIM(J233))&lt;1700,"1600",VALUE(TRIM(J233))&lt;1800,"1700",VALUE(TRIM(J233))&lt;1900,"1800",VALUE(TRIM(J233))&lt;2000,"1900",VALUE(TRIM(J233))&lt;2100,"2000")</f>
        <v>2000</v>
      </c>
      <c r="M233" s="1" t="str">
        <f t="shared" si="11"/>
        <v/>
      </c>
      <c r="N233" s="1" t="str">
        <f t="shared" si="10"/>
        <v>not read</v>
      </c>
      <c r="O233" t="s">
        <v>47</v>
      </c>
    </row>
    <row r="234" spans="1:15">
      <c r="A234" s="2" t="s">
        <v>1061</v>
      </c>
      <c r="B234" t="s">
        <v>1062</v>
      </c>
      <c r="C234" t="s">
        <v>1063</v>
      </c>
      <c r="D234" s="2" t="s">
        <v>18</v>
      </c>
      <c r="E234" s="2" t="str">
        <f t="shared" si="9"/>
        <v>no rating</v>
      </c>
      <c r="F234" s="2" t="s">
        <v>36</v>
      </c>
      <c r="G234" t="s">
        <v>1064</v>
      </c>
      <c r="H234" s="2" t="s">
        <v>918</v>
      </c>
      <c r="I234" s="3" t="str" cm="1">
        <f t="array" ref="I234">_xlfn.IFS(VALUE(TRIM(H234))&lt;300,"Short",VALUE(TRIM(H234))&lt;450,"Medium",VALUE(TRIM(H234))&lt;750,"Long",TRUE,"Very Long")</f>
        <v>Short</v>
      </c>
      <c r="J234" t="s">
        <v>110</v>
      </c>
      <c r="K234" t="str" cm="1">
        <f t="array" ref="K234">_xlfn.IFS(VALUE(TRIM(J234))&lt;0,"BC",VALUE(TRIM(J234))&lt;200,"100",VALUE(TRIM(J234))&lt;800,"700",VALUE(TRIM(J234))&lt;900,"800",VALUE(TRIM(J234))&lt;1000,"900",VALUE(TRIM(J234))&lt;1100,"1000",VALUE(TRIM(J234))&lt;1200,"1100",VALUE(TRIM(J234))&lt;1300,"1200",VALUE(TRIM(J234))&lt;1400,"1300",VALUE(TRIM(J234))&lt;1500,"1400",VALUE(TRIM(J234))&lt;1600,"1500",VALUE(TRIM(J234))&lt;1700,"1600",VALUE(TRIM(J234))&lt;1800,"1700",VALUE(TRIM(J234))&lt;1900,"1800",VALUE(TRIM(J234))&lt;2000,"1900",VALUE(TRIM(J234))&lt;2100,"2000")</f>
        <v>2000</v>
      </c>
      <c r="M234" s="1" t="str">
        <f t="shared" si="11"/>
        <v/>
      </c>
      <c r="N234" s="1" t="str">
        <f t="shared" si="10"/>
        <v>not read</v>
      </c>
      <c r="O234" t="s">
        <v>47</v>
      </c>
    </row>
    <row r="235" spans="1:15">
      <c r="A235" s="2" t="s">
        <v>1065</v>
      </c>
      <c r="B235" t="s">
        <v>1066</v>
      </c>
      <c r="C235" t="s">
        <v>1067</v>
      </c>
      <c r="D235" s="2" t="s">
        <v>18</v>
      </c>
      <c r="E235" s="2" t="str">
        <f t="shared" si="9"/>
        <v>no rating</v>
      </c>
      <c r="F235" s="2" t="s">
        <v>82</v>
      </c>
      <c r="G235" t="s">
        <v>20</v>
      </c>
      <c r="H235" s="2" t="s">
        <v>1068</v>
      </c>
      <c r="I235" s="3" t="str" cm="1">
        <f t="array" ref="I235">_xlfn.IFS(VALUE(TRIM(H235))&lt;300,"Short",VALUE(TRIM(H235))&lt;450,"Medium",VALUE(TRIM(H235))&lt;750,"Long",TRUE,"Very Long")</f>
        <v>Short</v>
      </c>
      <c r="J235" t="s">
        <v>1069</v>
      </c>
      <c r="K235" t="str" cm="1">
        <f t="array" ref="K235">_xlfn.IFS(VALUE(TRIM(J235))&lt;0,"BC",VALUE(TRIM(J235))&lt;200,"100",VALUE(TRIM(J235))&lt;800,"700",VALUE(TRIM(J235))&lt;900,"800",VALUE(TRIM(J235))&lt;1000,"900",VALUE(TRIM(J235))&lt;1100,"1000",VALUE(TRIM(J235))&lt;1200,"1100",VALUE(TRIM(J235))&lt;1300,"1200",VALUE(TRIM(J235))&lt;1400,"1300",VALUE(TRIM(J235))&lt;1500,"1400",VALUE(TRIM(J235))&lt;1600,"1500",VALUE(TRIM(J235))&lt;1700,"1600",VALUE(TRIM(J235))&lt;1800,"1700",VALUE(TRIM(J235))&lt;1900,"1800",VALUE(TRIM(J235))&lt;2000,"1900",VALUE(TRIM(J235))&lt;2100,"2000")</f>
        <v>1900</v>
      </c>
      <c r="M235" s="1" t="str">
        <f t="shared" si="11"/>
        <v/>
      </c>
      <c r="N235" s="1" t="str">
        <f t="shared" si="10"/>
        <v>not read</v>
      </c>
      <c r="O235" t="s">
        <v>47</v>
      </c>
    </row>
    <row r="236" spans="1:15">
      <c r="A236" s="2" t="s">
        <v>1070</v>
      </c>
      <c r="B236" t="s">
        <v>1071</v>
      </c>
      <c r="C236" t="s">
        <v>1072</v>
      </c>
      <c r="D236" s="2" t="s">
        <v>18</v>
      </c>
      <c r="E236" s="2" t="str">
        <f t="shared" si="9"/>
        <v>no rating</v>
      </c>
      <c r="F236" s="2" t="s">
        <v>19</v>
      </c>
      <c r="G236" t="s">
        <v>125</v>
      </c>
      <c r="H236" s="2" t="s">
        <v>1073</v>
      </c>
      <c r="I236" s="3" t="str" cm="1">
        <f t="array" ref="I236">_xlfn.IFS(VALUE(TRIM(H236))&lt;300,"Short",VALUE(TRIM(H236))&lt;450,"Medium",VALUE(TRIM(H236))&lt;750,"Long",TRUE,"Very Long")</f>
        <v>Medium</v>
      </c>
      <c r="J236" t="s">
        <v>31</v>
      </c>
      <c r="K236" t="str" cm="1">
        <f t="array" ref="K236">_xlfn.IFS(VALUE(TRIM(J236))&lt;0,"BC",VALUE(TRIM(J236))&lt;200,"100",VALUE(TRIM(J236))&lt;800,"700",VALUE(TRIM(J236))&lt;900,"800",VALUE(TRIM(J236))&lt;1000,"900",VALUE(TRIM(J236))&lt;1100,"1000",VALUE(TRIM(J236))&lt;1200,"1100",VALUE(TRIM(J236))&lt;1300,"1200",VALUE(TRIM(J236))&lt;1400,"1300",VALUE(TRIM(J236))&lt;1500,"1400",VALUE(TRIM(J236))&lt;1600,"1500",VALUE(TRIM(J236))&lt;1700,"1600",VALUE(TRIM(J236))&lt;1800,"1700",VALUE(TRIM(J236))&lt;1900,"1800",VALUE(TRIM(J236))&lt;2000,"1900",VALUE(TRIM(J236))&lt;2100,"2000")</f>
        <v>2000</v>
      </c>
      <c r="M236" s="1" t="str">
        <f t="shared" si="11"/>
        <v/>
      </c>
      <c r="N236" s="1" t="str">
        <f t="shared" si="10"/>
        <v>not read</v>
      </c>
      <c r="O236" t="s">
        <v>47</v>
      </c>
    </row>
    <row r="237" spans="1:15">
      <c r="A237" s="2" t="s">
        <v>1074</v>
      </c>
      <c r="B237" t="s">
        <v>1075</v>
      </c>
      <c r="C237" t="s">
        <v>1076</v>
      </c>
      <c r="D237" s="2" t="s">
        <v>18</v>
      </c>
      <c r="E237" s="2" t="str">
        <f t="shared" si="9"/>
        <v>no rating</v>
      </c>
      <c r="F237" s="2" t="s">
        <v>178</v>
      </c>
      <c r="G237" t="s">
        <v>227</v>
      </c>
      <c r="H237" s="2" t="s">
        <v>374</v>
      </c>
      <c r="I237" s="3" t="str" cm="1">
        <f t="array" ref="I237">_xlfn.IFS(VALUE(TRIM(H237))&lt;300,"Short",VALUE(TRIM(H237))&lt;450,"Medium",VALUE(TRIM(H237))&lt;750,"Long",TRUE,"Very Long")</f>
        <v>Short</v>
      </c>
      <c r="J237" t="s">
        <v>259</v>
      </c>
      <c r="K237" t="str" cm="1">
        <f t="array" ref="K237">_xlfn.IFS(VALUE(TRIM(J237))&lt;0,"BC",VALUE(TRIM(J237))&lt;200,"100",VALUE(TRIM(J237))&lt;800,"700",VALUE(TRIM(J237))&lt;900,"800",VALUE(TRIM(J237))&lt;1000,"900",VALUE(TRIM(J237))&lt;1100,"1000",VALUE(TRIM(J237))&lt;1200,"1100",VALUE(TRIM(J237))&lt;1300,"1200",VALUE(TRIM(J237))&lt;1400,"1300",VALUE(TRIM(J237))&lt;1500,"1400",VALUE(TRIM(J237))&lt;1600,"1500",VALUE(TRIM(J237))&lt;1700,"1600",VALUE(TRIM(J237))&lt;1800,"1700",VALUE(TRIM(J237))&lt;1900,"1800",VALUE(TRIM(J237))&lt;2000,"1900",VALUE(TRIM(J237))&lt;2100,"2000")</f>
        <v>2000</v>
      </c>
      <c r="M237" s="1" t="str">
        <f t="shared" si="11"/>
        <v/>
      </c>
      <c r="N237" s="1" t="str">
        <f t="shared" si="10"/>
        <v>not read</v>
      </c>
      <c r="O237" t="s">
        <v>47</v>
      </c>
    </row>
    <row r="238" spans="1:15">
      <c r="A238" s="2" t="s">
        <v>1077</v>
      </c>
      <c r="B238" t="s">
        <v>1078</v>
      </c>
      <c r="C238" t="s">
        <v>1079</v>
      </c>
      <c r="D238" s="2" t="s">
        <v>18</v>
      </c>
      <c r="E238" s="2" t="str">
        <f t="shared" si="9"/>
        <v>no rating</v>
      </c>
      <c r="F238" s="2" t="s">
        <v>178</v>
      </c>
      <c r="G238" t="s">
        <v>83</v>
      </c>
      <c r="H238" s="2" t="s">
        <v>1080</v>
      </c>
      <c r="I238" s="3" t="str" cm="1">
        <f t="array" ref="I238">_xlfn.IFS(VALUE(TRIM(H238))&lt;300,"Short",VALUE(TRIM(H238))&lt;450,"Medium",VALUE(TRIM(H238))&lt;750,"Long",TRUE,"Very Long")</f>
        <v>Short</v>
      </c>
      <c r="J238" t="s">
        <v>85</v>
      </c>
      <c r="K238" t="str" cm="1">
        <f t="array" ref="K238">_xlfn.IFS(VALUE(TRIM(J238))&lt;0,"BC",VALUE(TRIM(J238))&lt;200,"100",VALUE(TRIM(J238))&lt;800,"700",VALUE(TRIM(J238))&lt;900,"800",VALUE(TRIM(J238))&lt;1000,"900",VALUE(TRIM(J238))&lt;1100,"1000",VALUE(TRIM(J238))&lt;1200,"1100",VALUE(TRIM(J238))&lt;1300,"1200",VALUE(TRIM(J238))&lt;1400,"1300",VALUE(TRIM(J238))&lt;1500,"1400",VALUE(TRIM(J238))&lt;1600,"1500",VALUE(TRIM(J238))&lt;1700,"1600",VALUE(TRIM(J238))&lt;1800,"1700",VALUE(TRIM(J238))&lt;1900,"1800",VALUE(TRIM(J238))&lt;2000,"1900",VALUE(TRIM(J238))&lt;2100,"2000")</f>
        <v>2000</v>
      </c>
      <c r="M238" s="1" t="str">
        <f t="shared" si="11"/>
        <v/>
      </c>
      <c r="N238" s="1" t="str">
        <f t="shared" si="10"/>
        <v>not read</v>
      </c>
      <c r="O238" t="s">
        <v>47</v>
      </c>
    </row>
    <row r="239" spans="1:15">
      <c r="A239" s="2" t="s">
        <v>1081</v>
      </c>
      <c r="B239" t="s">
        <v>1082</v>
      </c>
      <c r="C239" t="s">
        <v>1083</v>
      </c>
      <c r="D239" s="2" t="s">
        <v>18</v>
      </c>
      <c r="E239" s="2" t="str">
        <f t="shared" si="9"/>
        <v>no rating</v>
      </c>
      <c r="F239" s="2" t="s">
        <v>69</v>
      </c>
      <c r="G239" t="s">
        <v>275</v>
      </c>
      <c r="H239" s="2" t="s">
        <v>254</v>
      </c>
      <c r="I239" s="3" t="str" cm="1">
        <f t="array" ref="I239">_xlfn.IFS(VALUE(TRIM(H239))&lt;300,"Short",VALUE(TRIM(H239))&lt;450,"Medium",VALUE(TRIM(H239))&lt;750,"Long",TRUE,"Very Long")</f>
        <v>Short</v>
      </c>
      <c r="J239" t="s">
        <v>208</v>
      </c>
      <c r="K239" t="str" cm="1">
        <f t="array" ref="K239">_xlfn.IFS(VALUE(TRIM(J239))&lt;0,"BC",VALUE(TRIM(J239))&lt;200,"100",VALUE(TRIM(J239))&lt;800,"700",VALUE(TRIM(J239))&lt;900,"800",VALUE(TRIM(J239))&lt;1000,"900",VALUE(TRIM(J239))&lt;1100,"1000",VALUE(TRIM(J239))&lt;1200,"1100",VALUE(TRIM(J239))&lt;1300,"1200",VALUE(TRIM(J239))&lt;1400,"1300",VALUE(TRIM(J239))&lt;1500,"1400",VALUE(TRIM(J239))&lt;1600,"1500",VALUE(TRIM(J239))&lt;1700,"1600",VALUE(TRIM(J239))&lt;1800,"1700",VALUE(TRIM(J239))&lt;1900,"1800",VALUE(TRIM(J239))&lt;2000,"1900",VALUE(TRIM(J239))&lt;2100,"2000")</f>
        <v>2000</v>
      </c>
      <c r="M239" s="1" t="str">
        <f t="shared" si="11"/>
        <v/>
      </c>
      <c r="N239" s="1" t="str">
        <f t="shared" si="10"/>
        <v>not read</v>
      </c>
      <c r="O239" t="s">
        <v>47</v>
      </c>
    </row>
    <row r="240" spans="1:15">
      <c r="A240" s="2" t="s">
        <v>1084</v>
      </c>
      <c r="B240" t="s">
        <v>1085</v>
      </c>
      <c r="C240" t="s">
        <v>1086</v>
      </c>
      <c r="D240" s="2" t="s">
        <v>18</v>
      </c>
      <c r="E240" s="2" t="str">
        <f t="shared" si="9"/>
        <v>no rating</v>
      </c>
      <c r="F240" s="2" t="s">
        <v>36</v>
      </c>
      <c r="G240" t="s">
        <v>556</v>
      </c>
      <c r="H240" s="2" t="s">
        <v>791</v>
      </c>
      <c r="I240" s="3" t="str" cm="1">
        <f t="array" ref="I240">_xlfn.IFS(VALUE(TRIM(H240))&lt;300,"Short",VALUE(TRIM(H240))&lt;450,"Medium",VALUE(TRIM(H240))&lt;750,"Long",TRUE,"Very Long")</f>
        <v>Short</v>
      </c>
      <c r="J240" t="s">
        <v>751</v>
      </c>
      <c r="K240" t="str" cm="1">
        <f t="array" ref="K240">_xlfn.IFS(VALUE(TRIM(J240))&lt;0,"BC",VALUE(TRIM(J240))&lt;200,"100",VALUE(TRIM(J240))&lt;800,"700",VALUE(TRIM(J240))&lt;900,"800",VALUE(TRIM(J240))&lt;1000,"900",VALUE(TRIM(J240))&lt;1100,"1000",VALUE(TRIM(J240))&lt;1200,"1100",VALUE(TRIM(J240))&lt;1300,"1200",VALUE(TRIM(J240))&lt;1400,"1300",VALUE(TRIM(J240))&lt;1500,"1400",VALUE(TRIM(J240))&lt;1600,"1500",VALUE(TRIM(J240))&lt;1700,"1600",VALUE(TRIM(J240))&lt;1800,"1700",VALUE(TRIM(J240))&lt;1900,"1800",VALUE(TRIM(J240))&lt;2000,"1900",VALUE(TRIM(J240))&lt;2100,"2000")</f>
        <v>1900</v>
      </c>
      <c r="M240" s="1" t="str">
        <f t="shared" si="11"/>
        <v/>
      </c>
      <c r="N240" s="1" t="str">
        <f t="shared" si="10"/>
        <v>not read</v>
      </c>
      <c r="O240" t="s">
        <v>47</v>
      </c>
    </row>
    <row r="241" spans="1:15">
      <c r="A241" s="2" t="s">
        <v>1087</v>
      </c>
      <c r="B241" t="s">
        <v>1088</v>
      </c>
      <c r="C241" t="s">
        <v>1089</v>
      </c>
      <c r="D241" s="2" t="s">
        <v>18</v>
      </c>
      <c r="E241" s="2" t="str">
        <f t="shared" si="9"/>
        <v>no rating</v>
      </c>
      <c r="F241" s="2" t="s">
        <v>178</v>
      </c>
      <c r="G241" t="s">
        <v>44</v>
      </c>
      <c r="H241" s="2" t="s">
        <v>1090</v>
      </c>
      <c r="I241" s="3" t="str" cm="1">
        <f t="array" ref="I241">_xlfn.IFS(VALUE(TRIM(H241))&lt;300,"Short",VALUE(TRIM(H241))&lt;450,"Medium",VALUE(TRIM(H241))&lt;750,"Long",TRUE,"Very Long")</f>
        <v>Short</v>
      </c>
      <c r="J241" t="s">
        <v>139</v>
      </c>
      <c r="K241" t="str" cm="1">
        <f t="array" ref="K241">_xlfn.IFS(VALUE(TRIM(J241))&lt;0,"BC",VALUE(TRIM(J241))&lt;200,"100",VALUE(TRIM(J241))&lt;800,"700",VALUE(TRIM(J241))&lt;900,"800",VALUE(TRIM(J241))&lt;1000,"900",VALUE(TRIM(J241))&lt;1100,"1000",VALUE(TRIM(J241))&lt;1200,"1100",VALUE(TRIM(J241))&lt;1300,"1200",VALUE(TRIM(J241))&lt;1400,"1300",VALUE(TRIM(J241))&lt;1500,"1400",VALUE(TRIM(J241))&lt;1600,"1500",VALUE(TRIM(J241))&lt;1700,"1600",VALUE(TRIM(J241))&lt;1800,"1700",VALUE(TRIM(J241))&lt;1900,"1800",VALUE(TRIM(J241))&lt;2000,"1900",VALUE(TRIM(J241))&lt;2100,"2000")</f>
        <v>2000</v>
      </c>
      <c r="M241" s="1" t="str">
        <f t="shared" si="11"/>
        <v/>
      </c>
      <c r="N241" s="1" t="str">
        <f t="shared" si="10"/>
        <v>not read</v>
      </c>
      <c r="O241" t="s">
        <v>47</v>
      </c>
    </row>
    <row r="242" spans="1:15">
      <c r="A242" s="2" t="s">
        <v>1091</v>
      </c>
      <c r="B242" t="s">
        <v>1092</v>
      </c>
      <c r="C242" t="s">
        <v>1093</v>
      </c>
      <c r="D242" s="2" t="s">
        <v>18</v>
      </c>
      <c r="E242" s="2" t="str">
        <f t="shared" si="9"/>
        <v>no rating</v>
      </c>
      <c r="F242" s="2" t="s">
        <v>69</v>
      </c>
      <c r="G242" t="s">
        <v>184</v>
      </c>
      <c r="H242" s="2" t="s">
        <v>219</v>
      </c>
      <c r="I242" s="3" t="str" cm="1">
        <f t="array" ref="I242">_xlfn.IFS(VALUE(TRIM(H242))&lt;300,"Short",VALUE(TRIM(H242))&lt;450,"Medium",VALUE(TRIM(H242))&lt;750,"Long",TRUE,"Very Long")</f>
        <v>Medium</v>
      </c>
      <c r="J242" t="s">
        <v>104</v>
      </c>
      <c r="K242" t="str" cm="1">
        <f t="array" ref="K242">_xlfn.IFS(VALUE(TRIM(J242))&lt;0,"BC",VALUE(TRIM(J242))&lt;200,"100",VALUE(TRIM(J242))&lt;800,"700",VALUE(TRIM(J242))&lt;900,"800",VALUE(TRIM(J242))&lt;1000,"900",VALUE(TRIM(J242))&lt;1100,"1000",VALUE(TRIM(J242))&lt;1200,"1100",VALUE(TRIM(J242))&lt;1300,"1200",VALUE(TRIM(J242))&lt;1400,"1300",VALUE(TRIM(J242))&lt;1500,"1400",VALUE(TRIM(J242))&lt;1600,"1500",VALUE(TRIM(J242))&lt;1700,"1600",VALUE(TRIM(J242))&lt;1800,"1700",VALUE(TRIM(J242))&lt;1900,"1800",VALUE(TRIM(J242))&lt;2000,"1900",VALUE(TRIM(J242))&lt;2100,"2000")</f>
        <v>2000</v>
      </c>
      <c r="M242" s="1" t="str">
        <f t="shared" si="11"/>
        <v/>
      </c>
      <c r="N242" s="1" t="str">
        <f t="shared" si="10"/>
        <v>not read</v>
      </c>
      <c r="O242" t="s">
        <v>47</v>
      </c>
    </row>
    <row r="243" spans="1:15">
      <c r="A243" s="2" t="s">
        <v>1094</v>
      </c>
      <c r="B243" t="s">
        <v>1095</v>
      </c>
      <c r="C243" t="s">
        <v>1096</v>
      </c>
      <c r="D243" s="2" t="s">
        <v>18</v>
      </c>
      <c r="E243" s="2" t="str">
        <f t="shared" si="9"/>
        <v>no rating</v>
      </c>
      <c r="F243" s="2" t="s">
        <v>43</v>
      </c>
      <c r="G243" t="s">
        <v>465</v>
      </c>
      <c r="H243" s="2" t="s">
        <v>457</v>
      </c>
      <c r="I243" s="3" t="str" cm="1">
        <f t="array" ref="I243">_xlfn.IFS(VALUE(TRIM(H243))&lt;300,"Short",VALUE(TRIM(H243))&lt;450,"Medium",VALUE(TRIM(H243))&lt;750,"Long",TRUE,"Very Long")</f>
        <v>Medium</v>
      </c>
      <c r="J243" t="s">
        <v>453</v>
      </c>
      <c r="K243" t="str" cm="1">
        <f t="array" ref="K243">_xlfn.IFS(VALUE(TRIM(J243))&lt;0,"BC",VALUE(TRIM(J243))&lt;200,"100",VALUE(TRIM(J243))&lt;800,"700",VALUE(TRIM(J243))&lt;900,"800",VALUE(TRIM(J243))&lt;1000,"900",VALUE(TRIM(J243))&lt;1100,"1000",VALUE(TRIM(J243))&lt;1200,"1100",VALUE(TRIM(J243))&lt;1300,"1200",VALUE(TRIM(J243))&lt;1400,"1300",VALUE(TRIM(J243))&lt;1500,"1400",VALUE(TRIM(J243))&lt;1600,"1500",VALUE(TRIM(J243))&lt;1700,"1600",VALUE(TRIM(J243))&lt;1800,"1700",VALUE(TRIM(J243))&lt;1900,"1800",VALUE(TRIM(J243))&lt;2000,"1900",VALUE(TRIM(J243))&lt;2100,"2000")</f>
        <v>2000</v>
      </c>
      <c r="M243" s="1" t="str">
        <f t="shared" si="11"/>
        <v/>
      </c>
      <c r="N243" s="1" t="str">
        <f t="shared" si="10"/>
        <v>not read</v>
      </c>
      <c r="O243" t="s">
        <v>47</v>
      </c>
    </row>
    <row r="244" spans="1:15">
      <c r="A244" s="2" t="s">
        <v>1097</v>
      </c>
      <c r="B244" t="s">
        <v>1098</v>
      </c>
      <c r="C244" t="s">
        <v>1099</v>
      </c>
      <c r="D244" s="2" t="s">
        <v>18</v>
      </c>
      <c r="E244" s="2" t="str">
        <f t="shared" si="9"/>
        <v>no rating</v>
      </c>
      <c r="F244" s="2" t="s">
        <v>178</v>
      </c>
      <c r="G244" t="s">
        <v>1100</v>
      </c>
      <c r="H244" s="2" t="s">
        <v>1101</v>
      </c>
      <c r="I244" s="3" t="str" cm="1">
        <f t="array" ref="I244">_xlfn.IFS(VALUE(TRIM(H244))&lt;300,"Short",VALUE(TRIM(H244))&lt;450,"Medium",VALUE(TRIM(H244))&lt;750,"Long",TRUE,"Very Long")</f>
        <v>Short</v>
      </c>
      <c r="J244" t="s">
        <v>601</v>
      </c>
      <c r="K244" t="str" cm="1">
        <f t="array" ref="K244">_xlfn.IFS(VALUE(TRIM(J244))&lt;0,"BC",VALUE(TRIM(J244))&lt;200,"100",VALUE(TRIM(J244))&lt;800,"700",VALUE(TRIM(J244))&lt;900,"800",VALUE(TRIM(J244))&lt;1000,"900",VALUE(TRIM(J244))&lt;1100,"1000",VALUE(TRIM(J244))&lt;1200,"1100",VALUE(TRIM(J244))&lt;1300,"1200",VALUE(TRIM(J244))&lt;1400,"1300",VALUE(TRIM(J244))&lt;1500,"1400",VALUE(TRIM(J244))&lt;1600,"1500",VALUE(TRIM(J244))&lt;1700,"1600",VALUE(TRIM(J244))&lt;1800,"1700",VALUE(TRIM(J244))&lt;1900,"1800",VALUE(TRIM(J244))&lt;2000,"1900",VALUE(TRIM(J244))&lt;2100,"2000")</f>
        <v>2000</v>
      </c>
      <c r="M244" s="1" t="str">
        <f t="shared" si="11"/>
        <v/>
      </c>
      <c r="N244" s="1" t="str">
        <f t="shared" si="10"/>
        <v>not read</v>
      </c>
      <c r="O244" t="s">
        <v>47</v>
      </c>
    </row>
    <row r="245" spans="1:15">
      <c r="A245" s="2" t="s">
        <v>1102</v>
      </c>
      <c r="B245" t="s">
        <v>1103</v>
      </c>
      <c r="C245" t="s">
        <v>1104</v>
      </c>
      <c r="D245" s="2" t="s">
        <v>18</v>
      </c>
      <c r="E245" s="2" t="str">
        <f t="shared" si="9"/>
        <v>no rating</v>
      </c>
      <c r="F245" s="2" t="s">
        <v>178</v>
      </c>
      <c r="G245" t="s">
        <v>520</v>
      </c>
      <c r="H245" s="2" t="s">
        <v>204</v>
      </c>
      <c r="I245" s="3" t="str" cm="1">
        <f t="array" ref="I245">_xlfn.IFS(VALUE(TRIM(H245))&lt;300,"Short",VALUE(TRIM(H245))&lt;450,"Medium",VALUE(TRIM(H245))&lt;750,"Long",TRUE,"Very Long")</f>
        <v>Short</v>
      </c>
      <c r="J245" t="s">
        <v>259</v>
      </c>
      <c r="K245" t="str" cm="1">
        <f t="array" ref="K245">_xlfn.IFS(VALUE(TRIM(J245))&lt;0,"BC",VALUE(TRIM(J245))&lt;200,"100",VALUE(TRIM(J245))&lt;800,"700",VALUE(TRIM(J245))&lt;900,"800",VALUE(TRIM(J245))&lt;1000,"900",VALUE(TRIM(J245))&lt;1100,"1000",VALUE(TRIM(J245))&lt;1200,"1100",VALUE(TRIM(J245))&lt;1300,"1200",VALUE(TRIM(J245))&lt;1400,"1300",VALUE(TRIM(J245))&lt;1500,"1400",VALUE(TRIM(J245))&lt;1600,"1500",VALUE(TRIM(J245))&lt;1700,"1600",VALUE(TRIM(J245))&lt;1800,"1700",VALUE(TRIM(J245))&lt;1900,"1800",VALUE(TRIM(J245))&lt;2000,"1900",VALUE(TRIM(J245))&lt;2100,"2000")</f>
        <v>2000</v>
      </c>
      <c r="M245" s="1" t="str">
        <f t="shared" si="11"/>
        <v/>
      </c>
      <c r="N245" s="1" t="str">
        <f t="shared" si="10"/>
        <v>not read</v>
      </c>
      <c r="O245" t="s">
        <v>47</v>
      </c>
    </row>
    <row r="246" spans="1:15">
      <c r="A246" s="2" t="s">
        <v>1105</v>
      </c>
      <c r="B246" t="s">
        <v>1106</v>
      </c>
      <c r="C246" t="s">
        <v>1107</v>
      </c>
      <c r="D246" s="2" t="s">
        <v>36</v>
      </c>
      <c r="E246" s="2" t="str">
        <f t="shared" si="9"/>
        <v>4</v>
      </c>
      <c r="F246" s="2" t="s">
        <v>82</v>
      </c>
      <c r="G246" t="s">
        <v>1108</v>
      </c>
      <c r="H246" s="2" t="s">
        <v>1109</v>
      </c>
      <c r="I246" s="3" t="str" cm="1">
        <f t="array" ref="I246">_xlfn.IFS(VALUE(TRIM(H246))&lt;300,"Short",VALUE(TRIM(H246))&lt;450,"Medium",VALUE(TRIM(H246))&lt;750,"Long",TRUE,"Very Long")</f>
        <v>Short</v>
      </c>
      <c r="J246" t="s">
        <v>1110</v>
      </c>
      <c r="K246" t="str" cm="1">
        <f t="array" ref="K246">_xlfn.IFS(VALUE(TRIM(J246))&lt;0,"BC",VALUE(TRIM(J246))&lt;200,"100",VALUE(TRIM(J246))&lt;800,"700",VALUE(TRIM(J246))&lt;900,"800",VALUE(TRIM(J246))&lt;1000,"900",VALUE(TRIM(J246))&lt;1100,"1000",VALUE(TRIM(J246))&lt;1200,"1100",VALUE(TRIM(J246))&lt;1300,"1200",VALUE(TRIM(J246))&lt;1400,"1300",VALUE(TRIM(J246))&lt;1500,"1400",VALUE(TRIM(J246))&lt;1600,"1500",VALUE(TRIM(J246))&lt;1700,"1600",VALUE(TRIM(J246))&lt;1800,"1700",VALUE(TRIM(J246))&lt;1900,"1800",VALUE(TRIM(J246))&lt;2000,"1900",VALUE(TRIM(J246))&lt;2100,"2000")</f>
        <v>1900</v>
      </c>
      <c r="L246" s="1">
        <v>45355</v>
      </c>
      <c r="M246" s="1" t="str">
        <f t="shared" si="11"/>
        <v>03/2024</v>
      </c>
      <c r="N246" s="1">
        <f t="shared" si="10"/>
        <v>45355</v>
      </c>
      <c r="O246" t="s">
        <v>32</v>
      </c>
    </row>
    <row r="247" spans="1:15">
      <c r="A247" s="2" t="s">
        <v>1111</v>
      </c>
      <c r="B247" t="s">
        <v>1112</v>
      </c>
      <c r="C247" t="s">
        <v>1113</v>
      </c>
      <c r="D247" s="2" t="s">
        <v>18</v>
      </c>
      <c r="E247" s="2" t="str">
        <f t="shared" ref="E247:E310" si="12">IF(D247="0","no rating", D247)</f>
        <v>no rating</v>
      </c>
      <c r="F247" s="2" t="s">
        <v>1114</v>
      </c>
      <c r="G247" t="s">
        <v>1115</v>
      </c>
      <c r="H247" s="2" t="s">
        <v>1116</v>
      </c>
      <c r="I247" s="3" t="str" cm="1">
        <f t="array" ref="I247">_xlfn.IFS(VALUE(TRIM(H247))&lt;300,"Short",VALUE(TRIM(H247))&lt;450,"Medium",VALUE(TRIM(H247))&lt;750,"Long",TRUE,"Very Long")</f>
        <v>Short</v>
      </c>
      <c r="J247" t="s">
        <v>104</v>
      </c>
      <c r="K247" t="str" cm="1">
        <f t="array" ref="K247">_xlfn.IFS(VALUE(TRIM(J247))&lt;0,"BC",VALUE(TRIM(J247))&lt;200,"100",VALUE(TRIM(J247))&lt;800,"700",VALUE(TRIM(J247))&lt;900,"800",VALUE(TRIM(J247))&lt;1000,"900",VALUE(TRIM(J247))&lt;1100,"1000",VALUE(TRIM(J247))&lt;1200,"1100",VALUE(TRIM(J247))&lt;1300,"1200",VALUE(TRIM(J247))&lt;1400,"1300",VALUE(TRIM(J247))&lt;1500,"1400",VALUE(TRIM(J247))&lt;1600,"1500",VALUE(TRIM(J247))&lt;1700,"1600",VALUE(TRIM(J247))&lt;1800,"1700",VALUE(TRIM(J247))&lt;1900,"1800",VALUE(TRIM(J247))&lt;2000,"1900",VALUE(TRIM(J247))&lt;2100,"2000")</f>
        <v>2000</v>
      </c>
      <c r="L247" s="1">
        <v>45292</v>
      </c>
      <c r="M247" s="1" t="str">
        <f t="shared" si="11"/>
        <v>01/2024</v>
      </c>
      <c r="N247" s="1">
        <f t="shared" ref="N247:N310" si="13">IF(L247="","not read",L247)</f>
        <v>45292</v>
      </c>
      <c r="O247" t="s">
        <v>740</v>
      </c>
    </row>
    <row r="248" spans="1:15">
      <c r="A248" s="2" t="s">
        <v>1117</v>
      </c>
      <c r="B248" t="s">
        <v>1118</v>
      </c>
      <c r="C248" t="s">
        <v>519</v>
      </c>
      <c r="D248" s="2" t="s">
        <v>18</v>
      </c>
      <c r="E248" s="2" t="str">
        <f t="shared" si="12"/>
        <v>no rating</v>
      </c>
      <c r="F248" s="2" t="s">
        <v>43</v>
      </c>
      <c r="G248" t="s">
        <v>329</v>
      </c>
      <c r="H248" s="2" t="s">
        <v>53</v>
      </c>
      <c r="I248" s="3" t="str" cm="1">
        <f t="array" ref="I248">_xlfn.IFS(VALUE(TRIM(H248))&lt;300,"Short",VALUE(TRIM(H248))&lt;450,"Medium",VALUE(TRIM(H248))&lt;750,"Long",TRUE,"Very Long")</f>
        <v>Short</v>
      </c>
      <c r="J248" t="s">
        <v>208</v>
      </c>
      <c r="K248" t="str" cm="1">
        <f t="array" ref="K248">_xlfn.IFS(VALUE(TRIM(J248))&lt;0,"BC",VALUE(TRIM(J248))&lt;200,"100",VALUE(TRIM(J248))&lt;800,"700",VALUE(TRIM(J248))&lt;900,"800",VALUE(TRIM(J248))&lt;1000,"900",VALUE(TRIM(J248))&lt;1100,"1000",VALUE(TRIM(J248))&lt;1200,"1100",VALUE(TRIM(J248))&lt;1300,"1200",VALUE(TRIM(J248))&lt;1400,"1300",VALUE(TRIM(J248))&lt;1500,"1400",VALUE(TRIM(J248))&lt;1600,"1500",VALUE(TRIM(J248))&lt;1700,"1600",VALUE(TRIM(J248))&lt;1800,"1700",VALUE(TRIM(J248))&lt;1900,"1800",VALUE(TRIM(J248))&lt;2000,"1900",VALUE(TRIM(J248))&lt;2100,"2000")</f>
        <v>2000</v>
      </c>
      <c r="M248" s="1" t="str">
        <f t="shared" si="11"/>
        <v/>
      </c>
      <c r="N248" s="1" t="str">
        <f t="shared" si="13"/>
        <v>not read</v>
      </c>
      <c r="O248" t="s">
        <v>47</v>
      </c>
    </row>
    <row r="249" spans="1:15">
      <c r="A249" s="2" t="s">
        <v>1119</v>
      </c>
      <c r="B249" t="s">
        <v>1120</v>
      </c>
      <c r="C249" t="s">
        <v>1121</v>
      </c>
      <c r="D249" s="2" t="s">
        <v>18</v>
      </c>
      <c r="E249" s="2" t="str">
        <f t="shared" si="12"/>
        <v>no rating</v>
      </c>
      <c r="F249" s="2" t="s">
        <v>178</v>
      </c>
      <c r="G249" t="s">
        <v>108</v>
      </c>
      <c r="H249" s="2" t="s">
        <v>1122</v>
      </c>
      <c r="I249" s="3" t="str" cm="1">
        <f t="array" ref="I249">_xlfn.IFS(VALUE(TRIM(H249))&lt;300,"Short",VALUE(TRIM(H249))&lt;450,"Medium",VALUE(TRIM(H249))&lt;750,"Long",TRUE,"Very Long")</f>
        <v>Short</v>
      </c>
      <c r="J249" t="s">
        <v>339</v>
      </c>
      <c r="K249" t="str" cm="1">
        <f t="array" ref="K249">_xlfn.IFS(VALUE(TRIM(J249))&lt;0,"BC",VALUE(TRIM(J249))&lt;200,"100",VALUE(TRIM(J249))&lt;800,"700",VALUE(TRIM(J249))&lt;900,"800",VALUE(TRIM(J249))&lt;1000,"900",VALUE(TRIM(J249))&lt;1100,"1000",VALUE(TRIM(J249))&lt;1200,"1100",VALUE(TRIM(J249))&lt;1300,"1200",VALUE(TRIM(J249))&lt;1400,"1300",VALUE(TRIM(J249))&lt;1500,"1400",VALUE(TRIM(J249))&lt;1600,"1500",VALUE(TRIM(J249))&lt;1700,"1600",VALUE(TRIM(J249))&lt;1800,"1700",VALUE(TRIM(J249))&lt;1900,"1800",VALUE(TRIM(J249))&lt;2000,"1900",VALUE(TRIM(J249))&lt;2100,"2000")</f>
        <v>2000</v>
      </c>
      <c r="M249" s="1" t="str">
        <f t="shared" si="11"/>
        <v/>
      </c>
      <c r="N249" s="1" t="str">
        <f t="shared" si="13"/>
        <v>not read</v>
      </c>
      <c r="O249" t="s">
        <v>47</v>
      </c>
    </row>
    <row r="250" spans="1:15">
      <c r="A250" s="2" t="s">
        <v>1123</v>
      </c>
      <c r="B250" t="s">
        <v>1124</v>
      </c>
      <c r="C250" t="s">
        <v>519</v>
      </c>
      <c r="D250" s="2" t="s">
        <v>18</v>
      </c>
      <c r="E250" s="2" t="str">
        <f t="shared" si="12"/>
        <v>no rating</v>
      </c>
      <c r="F250" s="2" t="s">
        <v>19</v>
      </c>
      <c r="G250" t="s">
        <v>1125</v>
      </c>
      <c r="H250" s="2" t="s">
        <v>204</v>
      </c>
      <c r="I250" s="3" t="str" cm="1">
        <f t="array" ref="I250">_xlfn.IFS(VALUE(TRIM(H250))&lt;300,"Short",VALUE(TRIM(H250))&lt;450,"Medium",VALUE(TRIM(H250))&lt;750,"Long",TRUE,"Very Long")</f>
        <v>Short</v>
      </c>
      <c r="J250" t="s">
        <v>54</v>
      </c>
      <c r="K250" t="str" cm="1">
        <f t="array" ref="K250">_xlfn.IFS(VALUE(TRIM(J250))&lt;0,"BC",VALUE(TRIM(J250))&lt;200,"100",VALUE(TRIM(J250))&lt;800,"700",VALUE(TRIM(J250))&lt;900,"800",VALUE(TRIM(J250))&lt;1000,"900",VALUE(TRIM(J250))&lt;1100,"1000",VALUE(TRIM(J250))&lt;1200,"1100",VALUE(TRIM(J250))&lt;1300,"1200",VALUE(TRIM(J250))&lt;1400,"1300",VALUE(TRIM(J250))&lt;1500,"1400",VALUE(TRIM(J250))&lt;1600,"1500",VALUE(TRIM(J250))&lt;1700,"1600",VALUE(TRIM(J250))&lt;1800,"1700",VALUE(TRIM(J250))&lt;1900,"1800",VALUE(TRIM(J250))&lt;2000,"1900",VALUE(TRIM(J250))&lt;2100,"2000")</f>
        <v>2000</v>
      </c>
      <c r="M250" s="1" t="str">
        <f t="shared" si="11"/>
        <v/>
      </c>
      <c r="N250" s="1" t="str">
        <f t="shared" si="13"/>
        <v>not read</v>
      </c>
      <c r="O250" t="s">
        <v>47</v>
      </c>
    </row>
    <row r="251" spans="1:15">
      <c r="A251" s="2" t="s">
        <v>1126</v>
      </c>
      <c r="B251" t="s">
        <v>1127</v>
      </c>
      <c r="C251" t="s">
        <v>1128</v>
      </c>
      <c r="D251" s="2" t="s">
        <v>18</v>
      </c>
      <c r="E251" s="2" t="str">
        <f t="shared" si="12"/>
        <v>no rating</v>
      </c>
      <c r="F251" s="2" t="s">
        <v>36</v>
      </c>
      <c r="G251" t="s">
        <v>590</v>
      </c>
      <c r="H251" s="2" t="s">
        <v>77</v>
      </c>
      <c r="I251" s="3" t="str" cm="1">
        <f t="array" ref="I251">_xlfn.IFS(VALUE(TRIM(H251))&lt;300,"Short",VALUE(TRIM(H251))&lt;450,"Medium",VALUE(TRIM(H251))&lt;750,"Long",TRUE,"Very Long")</f>
        <v>Medium</v>
      </c>
      <c r="J251" t="s">
        <v>426</v>
      </c>
      <c r="K251" t="str" cm="1">
        <f t="array" ref="K251">_xlfn.IFS(VALUE(TRIM(J251))&lt;0,"BC",VALUE(TRIM(J251))&lt;200,"100",VALUE(TRIM(J251))&lt;800,"700",VALUE(TRIM(J251))&lt;900,"800",VALUE(TRIM(J251))&lt;1000,"900",VALUE(TRIM(J251))&lt;1100,"1000",VALUE(TRIM(J251))&lt;1200,"1100",VALUE(TRIM(J251))&lt;1300,"1200",VALUE(TRIM(J251))&lt;1400,"1300",VALUE(TRIM(J251))&lt;1500,"1400",VALUE(TRIM(J251))&lt;1600,"1500",VALUE(TRIM(J251))&lt;1700,"1600",VALUE(TRIM(J251))&lt;1800,"1700",VALUE(TRIM(J251))&lt;1900,"1800",VALUE(TRIM(J251))&lt;2000,"1900",VALUE(TRIM(J251))&lt;2100,"2000")</f>
        <v>2000</v>
      </c>
      <c r="M251" s="1" t="str">
        <f t="shared" si="11"/>
        <v/>
      </c>
      <c r="N251" s="1" t="str">
        <f t="shared" si="13"/>
        <v>not read</v>
      </c>
      <c r="O251" t="s">
        <v>47</v>
      </c>
    </row>
    <row r="252" spans="1:15">
      <c r="A252" s="2" t="s">
        <v>1129</v>
      </c>
      <c r="B252" t="s">
        <v>1130</v>
      </c>
      <c r="C252" t="s">
        <v>1131</v>
      </c>
      <c r="D252" s="2" t="s">
        <v>18</v>
      </c>
      <c r="E252" s="2" t="str">
        <f t="shared" si="12"/>
        <v>no rating</v>
      </c>
      <c r="F252" s="2" t="s">
        <v>43</v>
      </c>
      <c r="G252" t="s">
        <v>1132</v>
      </c>
      <c r="H252" s="2" t="s">
        <v>1133</v>
      </c>
      <c r="I252" s="3" t="str" cm="1">
        <f t="array" ref="I252">_xlfn.IFS(VALUE(TRIM(H252))&lt;300,"Short",VALUE(TRIM(H252))&lt;450,"Medium",VALUE(TRIM(H252))&lt;750,"Long",TRUE,"Very Long")</f>
        <v>Short</v>
      </c>
      <c r="J252" t="s">
        <v>1134</v>
      </c>
      <c r="K252" t="str" cm="1">
        <f t="array" ref="K252">_xlfn.IFS(VALUE(TRIM(J252))&lt;0,"BC",VALUE(TRIM(J252))&lt;200,"100",VALUE(TRIM(J252))&lt;800,"700",VALUE(TRIM(J252))&lt;900,"800",VALUE(TRIM(J252))&lt;1000,"900",VALUE(TRIM(J252))&lt;1100,"1000",VALUE(TRIM(J252))&lt;1200,"1100",VALUE(TRIM(J252))&lt;1300,"1200",VALUE(TRIM(J252))&lt;1400,"1300",VALUE(TRIM(J252))&lt;1500,"1400",VALUE(TRIM(J252))&lt;1600,"1500",VALUE(TRIM(J252))&lt;1700,"1600",VALUE(TRIM(J252))&lt;1800,"1700",VALUE(TRIM(J252))&lt;1900,"1800",VALUE(TRIM(J252))&lt;2000,"1900",VALUE(TRIM(J252))&lt;2100,"2000")</f>
        <v>1800</v>
      </c>
      <c r="M252" s="1" t="str">
        <f t="shared" si="11"/>
        <v/>
      </c>
      <c r="N252" s="1" t="str">
        <f t="shared" si="13"/>
        <v>not read</v>
      </c>
      <c r="O252" t="s">
        <v>47</v>
      </c>
    </row>
    <row r="253" spans="1:15">
      <c r="A253" s="2" t="s">
        <v>1135</v>
      </c>
      <c r="B253" t="s">
        <v>1136</v>
      </c>
      <c r="C253" t="s">
        <v>1137</v>
      </c>
      <c r="D253" s="2" t="s">
        <v>1138</v>
      </c>
      <c r="E253" s="2" t="str">
        <f t="shared" si="12"/>
        <v>2</v>
      </c>
      <c r="F253" s="2" t="s">
        <v>28</v>
      </c>
      <c r="G253" t="s">
        <v>556</v>
      </c>
      <c r="H253" s="2" t="s">
        <v>445</v>
      </c>
      <c r="I253" s="3" t="str" cm="1">
        <f t="array" ref="I253">_xlfn.IFS(VALUE(TRIM(H253))&lt;300,"Short",VALUE(TRIM(H253))&lt;450,"Medium",VALUE(TRIM(H253))&lt;750,"Long",TRUE,"Very Long")</f>
        <v>Medium</v>
      </c>
      <c r="J253" t="s">
        <v>157</v>
      </c>
      <c r="K253" t="str" cm="1">
        <f t="array" ref="K253">_xlfn.IFS(VALUE(TRIM(J253))&lt;0,"BC",VALUE(TRIM(J253))&lt;200,"100",VALUE(TRIM(J253))&lt;800,"700",VALUE(TRIM(J253))&lt;900,"800",VALUE(TRIM(J253))&lt;1000,"900",VALUE(TRIM(J253))&lt;1100,"1000",VALUE(TRIM(J253))&lt;1200,"1100",VALUE(TRIM(J253))&lt;1300,"1200",VALUE(TRIM(J253))&lt;1400,"1300",VALUE(TRIM(J253))&lt;1500,"1400",VALUE(TRIM(J253))&lt;1600,"1500",VALUE(TRIM(J253))&lt;1700,"1600",VALUE(TRIM(J253))&lt;1800,"1700",VALUE(TRIM(J253))&lt;1900,"1800",VALUE(TRIM(J253))&lt;2000,"1900",VALUE(TRIM(J253))&lt;2100,"2000")</f>
        <v>2000</v>
      </c>
      <c r="M253" s="1" t="str">
        <f t="shared" si="11"/>
        <v/>
      </c>
      <c r="N253" s="1" t="str">
        <f t="shared" si="13"/>
        <v>not read</v>
      </c>
      <c r="O253" t="s">
        <v>32</v>
      </c>
    </row>
    <row r="254" spans="1:15">
      <c r="A254" s="2" t="s">
        <v>1139</v>
      </c>
      <c r="B254" t="s">
        <v>1140</v>
      </c>
      <c r="C254" t="s">
        <v>1141</v>
      </c>
      <c r="D254" s="2" t="s">
        <v>18</v>
      </c>
      <c r="E254" s="2" t="str">
        <f t="shared" si="12"/>
        <v>no rating</v>
      </c>
      <c r="F254" s="2" t="s">
        <v>69</v>
      </c>
      <c r="G254" t="s">
        <v>509</v>
      </c>
      <c r="H254" s="2" t="s">
        <v>219</v>
      </c>
      <c r="I254" s="3" t="str" cm="1">
        <f t="array" ref="I254">_xlfn.IFS(VALUE(TRIM(H254))&lt;300,"Short",VALUE(TRIM(H254))&lt;450,"Medium",VALUE(TRIM(H254))&lt;750,"Long",TRUE,"Very Long")</f>
        <v>Medium</v>
      </c>
      <c r="J254" t="s">
        <v>104</v>
      </c>
      <c r="K254" t="str" cm="1">
        <f t="array" ref="K254">_xlfn.IFS(VALUE(TRIM(J254))&lt;0,"BC",VALUE(TRIM(J254))&lt;200,"100",VALUE(TRIM(J254))&lt;800,"700",VALUE(TRIM(J254))&lt;900,"800",VALUE(TRIM(J254))&lt;1000,"900",VALUE(TRIM(J254))&lt;1100,"1000",VALUE(TRIM(J254))&lt;1200,"1100",VALUE(TRIM(J254))&lt;1300,"1200",VALUE(TRIM(J254))&lt;1400,"1300",VALUE(TRIM(J254))&lt;1500,"1400",VALUE(TRIM(J254))&lt;1600,"1500",VALUE(TRIM(J254))&lt;1700,"1600",VALUE(TRIM(J254))&lt;1800,"1700",VALUE(TRIM(J254))&lt;1900,"1800",VALUE(TRIM(J254))&lt;2000,"1900",VALUE(TRIM(J254))&lt;2100,"2000")</f>
        <v>2000</v>
      </c>
      <c r="M254" s="1" t="str">
        <f t="shared" si="11"/>
        <v/>
      </c>
      <c r="N254" s="1" t="str">
        <f t="shared" si="13"/>
        <v>not read</v>
      </c>
      <c r="O254" t="s">
        <v>47</v>
      </c>
    </row>
    <row r="255" spans="1:15">
      <c r="A255" s="2" t="s">
        <v>1142</v>
      </c>
      <c r="B255" t="s">
        <v>1143</v>
      </c>
      <c r="C255" t="s">
        <v>1144</v>
      </c>
      <c r="D255" s="2" t="s">
        <v>36</v>
      </c>
      <c r="E255" s="2" t="str">
        <f t="shared" si="12"/>
        <v>4</v>
      </c>
      <c r="F255" s="2" t="s">
        <v>19</v>
      </c>
      <c r="G255" t="s">
        <v>1145</v>
      </c>
      <c r="H255" s="2" t="s">
        <v>1146</v>
      </c>
      <c r="I255" s="3" t="str" cm="1">
        <f t="array" ref="I255">_xlfn.IFS(VALUE(TRIM(H255))&lt;300,"Short",VALUE(TRIM(H255))&lt;450,"Medium",VALUE(TRIM(H255))&lt;750,"Long",TRUE,"Very Long")</f>
        <v>Short</v>
      </c>
      <c r="J255" t="s">
        <v>1147</v>
      </c>
      <c r="K255" t="str" cm="1">
        <f t="array" ref="K255">_xlfn.IFS(VALUE(TRIM(J255))&lt;0,"BC",VALUE(TRIM(J255))&lt;200,"100",VALUE(TRIM(J255))&lt;800,"700",VALUE(TRIM(J255))&lt;900,"800",VALUE(TRIM(J255))&lt;1000,"900",VALUE(TRIM(J255))&lt;1100,"1000",VALUE(TRIM(J255))&lt;1200,"1100",VALUE(TRIM(J255))&lt;1300,"1200",VALUE(TRIM(J255))&lt;1400,"1300",VALUE(TRIM(J255))&lt;1500,"1400",VALUE(TRIM(J255))&lt;1600,"1500",VALUE(TRIM(J255))&lt;1700,"1600",VALUE(TRIM(J255))&lt;1800,"1700",VALUE(TRIM(J255))&lt;1900,"1800",VALUE(TRIM(J255))&lt;2000,"1900",VALUE(TRIM(J255))&lt;2100,"2000")</f>
        <v>1900</v>
      </c>
      <c r="M255" s="1" t="str">
        <f t="shared" si="11"/>
        <v/>
      </c>
      <c r="N255" s="1" t="str">
        <f t="shared" si="13"/>
        <v>not read</v>
      </c>
      <c r="O255" t="s">
        <v>32</v>
      </c>
    </row>
    <row r="256" spans="1:15">
      <c r="A256" s="2" t="s">
        <v>1148</v>
      </c>
      <c r="B256" t="s">
        <v>1149</v>
      </c>
      <c r="C256" t="s">
        <v>1131</v>
      </c>
      <c r="D256" s="2" t="s">
        <v>36</v>
      </c>
      <c r="E256" s="2" t="str">
        <f t="shared" si="12"/>
        <v>4</v>
      </c>
      <c r="F256" s="2" t="s">
        <v>19</v>
      </c>
      <c r="G256" t="s">
        <v>275</v>
      </c>
      <c r="H256" s="2" t="s">
        <v>1090</v>
      </c>
      <c r="I256" s="3" t="str" cm="1">
        <f t="array" ref="I256">_xlfn.IFS(VALUE(TRIM(H256))&lt;300,"Short",VALUE(TRIM(H256))&lt;450,"Medium",VALUE(TRIM(H256))&lt;750,"Long",TRUE,"Very Long")</f>
        <v>Short</v>
      </c>
      <c r="J256" t="s">
        <v>1150</v>
      </c>
      <c r="K256" t="str" cm="1">
        <f t="array" ref="K256">_xlfn.IFS(VALUE(TRIM(J256))&lt;0,"BC",VALUE(TRIM(J256))&lt;200,"100",VALUE(TRIM(J256))&lt;800,"700",VALUE(TRIM(J256))&lt;900,"800",VALUE(TRIM(J256))&lt;1000,"900",VALUE(TRIM(J256))&lt;1100,"1000",VALUE(TRIM(J256))&lt;1200,"1100",VALUE(TRIM(J256))&lt;1300,"1200",VALUE(TRIM(J256))&lt;1400,"1300",VALUE(TRIM(J256))&lt;1500,"1400",VALUE(TRIM(J256))&lt;1600,"1500",VALUE(TRIM(J256))&lt;1700,"1600",VALUE(TRIM(J256))&lt;1800,"1700",VALUE(TRIM(J256))&lt;1900,"1800",VALUE(TRIM(J256))&lt;2000,"1900",VALUE(TRIM(J256))&lt;2100,"2000")</f>
        <v>1800</v>
      </c>
      <c r="M256" s="1" t="str">
        <f t="shared" si="11"/>
        <v/>
      </c>
      <c r="N256" s="1" t="str">
        <f t="shared" si="13"/>
        <v>not read</v>
      </c>
      <c r="O256" t="s">
        <v>32</v>
      </c>
    </row>
    <row r="257" spans="1:15">
      <c r="A257" s="2" t="s">
        <v>1151</v>
      </c>
      <c r="B257" t="s">
        <v>1152</v>
      </c>
      <c r="C257" t="s">
        <v>630</v>
      </c>
      <c r="D257" s="2" t="s">
        <v>36</v>
      </c>
      <c r="E257" s="2" t="str">
        <f t="shared" si="12"/>
        <v>4</v>
      </c>
      <c r="F257" s="2" t="s">
        <v>43</v>
      </c>
      <c r="G257" t="s">
        <v>556</v>
      </c>
      <c r="H257" s="2" t="s">
        <v>1153</v>
      </c>
      <c r="I257" s="3" t="str" cm="1">
        <f t="array" ref="I257">_xlfn.IFS(VALUE(TRIM(H257))&lt;300,"Short",VALUE(TRIM(H257))&lt;450,"Medium",VALUE(TRIM(H257))&lt;750,"Long",TRUE,"Very Long")</f>
        <v>Short</v>
      </c>
      <c r="J257" t="s">
        <v>1154</v>
      </c>
      <c r="K257" t="str" cm="1">
        <f t="array" ref="K257">_xlfn.IFS(VALUE(TRIM(J257))&lt;0,"BC",VALUE(TRIM(J257))&lt;200,"100",VALUE(TRIM(J257))&lt;800,"700",VALUE(TRIM(J257))&lt;900,"800",VALUE(TRIM(J257))&lt;1000,"900",VALUE(TRIM(J257))&lt;1100,"1000",VALUE(TRIM(J257))&lt;1200,"1100",VALUE(TRIM(J257))&lt;1300,"1200",VALUE(TRIM(J257))&lt;1400,"1300",VALUE(TRIM(J257))&lt;1500,"1400",VALUE(TRIM(J257))&lt;1600,"1500",VALUE(TRIM(J257))&lt;1700,"1600",VALUE(TRIM(J257))&lt;1800,"1700",VALUE(TRIM(J257))&lt;1900,"1800",VALUE(TRIM(J257))&lt;2000,"1900",VALUE(TRIM(J257))&lt;2100,"2000")</f>
        <v>1800</v>
      </c>
      <c r="M257" s="1" t="str">
        <f t="shared" si="11"/>
        <v/>
      </c>
      <c r="N257" s="1" t="str">
        <f t="shared" si="13"/>
        <v>not read</v>
      </c>
      <c r="O257" t="s">
        <v>32</v>
      </c>
    </row>
    <row r="258" spans="1:15">
      <c r="A258" s="2" t="s">
        <v>1155</v>
      </c>
      <c r="B258" t="s">
        <v>1156</v>
      </c>
      <c r="C258" t="s">
        <v>1157</v>
      </c>
      <c r="D258" s="2" t="s">
        <v>18</v>
      </c>
      <c r="E258" s="2" t="str">
        <f t="shared" si="12"/>
        <v>no rating</v>
      </c>
      <c r="F258" s="2" t="s">
        <v>1158</v>
      </c>
      <c r="G258" t="s">
        <v>1159</v>
      </c>
      <c r="H258" s="2" t="s">
        <v>1160</v>
      </c>
      <c r="I258" s="3" t="str" cm="1">
        <f t="array" ref="I258">_xlfn.IFS(VALUE(TRIM(H258))&lt;300,"Short",VALUE(TRIM(H258))&lt;450,"Medium",VALUE(TRIM(H258))&lt;750,"Long",TRUE,"Very Long")</f>
        <v>Short</v>
      </c>
      <c r="J258" t="s">
        <v>1161</v>
      </c>
      <c r="K258" t="str" cm="1">
        <f t="array" ref="K258">_xlfn.IFS(VALUE(TRIM(J258))&lt;0,"BC",VALUE(TRIM(J258))&lt;200,"100",VALUE(TRIM(J258))&lt;800,"700",VALUE(TRIM(J258))&lt;900,"800",VALUE(TRIM(J258))&lt;1000,"900",VALUE(TRIM(J258))&lt;1100,"1000",VALUE(TRIM(J258))&lt;1200,"1100",VALUE(TRIM(J258))&lt;1300,"1200",VALUE(TRIM(J258))&lt;1400,"1300",VALUE(TRIM(J258))&lt;1500,"1400",VALUE(TRIM(J258))&lt;1600,"1500",VALUE(TRIM(J258))&lt;1700,"1600",VALUE(TRIM(J258))&lt;1800,"1700",VALUE(TRIM(J258))&lt;1900,"1800",VALUE(TRIM(J258))&lt;2000,"1900",VALUE(TRIM(J258))&lt;2100,"2000")</f>
        <v>1800</v>
      </c>
      <c r="M258" s="1" t="str">
        <f t="shared" si="11"/>
        <v/>
      </c>
      <c r="N258" s="1" t="str">
        <f t="shared" si="13"/>
        <v>not read</v>
      </c>
      <c r="O258" t="s">
        <v>47</v>
      </c>
    </row>
    <row r="259" spans="1:15">
      <c r="A259" s="2" t="s">
        <v>1162</v>
      </c>
      <c r="B259" t="s">
        <v>1163</v>
      </c>
      <c r="C259" t="s">
        <v>1164</v>
      </c>
      <c r="D259" s="2" t="s">
        <v>18</v>
      </c>
      <c r="E259" s="2" t="str">
        <f t="shared" si="12"/>
        <v>no rating</v>
      </c>
      <c r="F259" s="2" t="s">
        <v>28</v>
      </c>
      <c r="G259" t="s">
        <v>108</v>
      </c>
      <c r="H259" s="2" t="s">
        <v>526</v>
      </c>
      <c r="I259" s="3" t="str" cm="1">
        <f t="array" ref="I259">_xlfn.IFS(VALUE(TRIM(H259))&lt;300,"Short",VALUE(TRIM(H259))&lt;450,"Medium",VALUE(TRIM(H259))&lt;750,"Long",TRUE,"Very Long")</f>
        <v>Short</v>
      </c>
      <c r="J259" t="s">
        <v>541</v>
      </c>
      <c r="K259" t="str" cm="1">
        <f t="array" ref="K259">_xlfn.IFS(VALUE(TRIM(J259))&lt;0,"BC",VALUE(TRIM(J259))&lt;200,"100",VALUE(TRIM(J259))&lt;800,"700",VALUE(TRIM(J259))&lt;900,"800",VALUE(TRIM(J259))&lt;1000,"900",VALUE(TRIM(J259))&lt;1100,"1000",VALUE(TRIM(J259))&lt;1200,"1100",VALUE(TRIM(J259))&lt;1300,"1200",VALUE(TRIM(J259))&lt;1400,"1300",VALUE(TRIM(J259))&lt;1500,"1400",VALUE(TRIM(J259))&lt;1600,"1500",VALUE(TRIM(J259))&lt;1700,"1600",VALUE(TRIM(J259))&lt;1800,"1700",VALUE(TRIM(J259))&lt;1900,"1800",VALUE(TRIM(J259))&lt;2000,"1900",VALUE(TRIM(J259))&lt;2100,"2000")</f>
        <v>1900</v>
      </c>
      <c r="M259" s="1" t="str">
        <f t="shared" ref="M259:M320" si="14">IF(L259="","",TEXT(L259,"mm/yyyy"))</f>
        <v/>
      </c>
      <c r="N259" s="1" t="str">
        <f t="shared" si="13"/>
        <v>not read</v>
      </c>
      <c r="O259" t="s">
        <v>47</v>
      </c>
    </row>
    <row r="260" spans="1:15">
      <c r="A260" s="2" t="s">
        <v>1165</v>
      </c>
      <c r="B260" t="s">
        <v>1166</v>
      </c>
      <c r="C260" t="s">
        <v>970</v>
      </c>
      <c r="D260" s="2" t="s">
        <v>18</v>
      </c>
      <c r="E260" s="2" t="str">
        <f t="shared" si="12"/>
        <v>no rating</v>
      </c>
      <c r="F260" s="2" t="s">
        <v>19</v>
      </c>
      <c r="G260" t="s">
        <v>1167</v>
      </c>
      <c r="H260" s="2" t="s">
        <v>1168</v>
      </c>
      <c r="I260" s="3" t="str" cm="1">
        <f t="array" ref="I260">_xlfn.IFS(VALUE(TRIM(H260))&lt;300,"Short",VALUE(TRIM(H260))&lt;450,"Medium",VALUE(TRIM(H260))&lt;750,"Long",TRUE,"Very Long")</f>
        <v>Short</v>
      </c>
      <c r="J260" t="s">
        <v>971</v>
      </c>
      <c r="K260" t="str" cm="1">
        <f t="array" ref="K260">_xlfn.IFS(VALUE(TRIM(J260))&lt;0,"BC",VALUE(TRIM(J260))&lt;200,"100",VALUE(TRIM(J260))&lt;800,"700",VALUE(TRIM(J260))&lt;900,"800",VALUE(TRIM(J260))&lt;1000,"900",VALUE(TRIM(J260))&lt;1100,"1000",VALUE(TRIM(J260))&lt;1200,"1100",VALUE(TRIM(J260))&lt;1300,"1200",VALUE(TRIM(J260))&lt;1400,"1300",VALUE(TRIM(J260))&lt;1500,"1400",VALUE(TRIM(J260))&lt;1600,"1500",VALUE(TRIM(J260))&lt;1700,"1600",VALUE(TRIM(J260))&lt;1800,"1700",VALUE(TRIM(J260))&lt;1900,"1800",VALUE(TRIM(J260))&lt;2000,"1900",VALUE(TRIM(J260))&lt;2100,"2000")</f>
        <v>1800</v>
      </c>
      <c r="M260" s="1" t="str">
        <f t="shared" si="14"/>
        <v/>
      </c>
      <c r="N260" s="1" t="str">
        <f t="shared" si="13"/>
        <v>not read</v>
      </c>
      <c r="O260" t="s">
        <v>47</v>
      </c>
    </row>
    <row r="261" spans="1:15">
      <c r="A261" s="2" t="s">
        <v>1169</v>
      </c>
      <c r="B261" t="s">
        <v>1170</v>
      </c>
      <c r="C261" t="s">
        <v>1171</v>
      </c>
      <c r="D261" s="2" t="s">
        <v>18</v>
      </c>
      <c r="E261" s="2" t="str">
        <f t="shared" si="12"/>
        <v>no rating</v>
      </c>
      <c r="F261" s="2" t="s">
        <v>178</v>
      </c>
      <c r="G261" t="s">
        <v>83</v>
      </c>
      <c r="H261" s="2" t="s">
        <v>1172</v>
      </c>
      <c r="I261" s="3" t="str" cm="1">
        <f t="array" ref="I261">_xlfn.IFS(VALUE(TRIM(H261))&lt;300,"Short",VALUE(TRIM(H261))&lt;450,"Medium",VALUE(TRIM(H261))&lt;750,"Long",TRUE,"Very Long")</f>
        <v>Short</v>
      </c>
      <c r="J261" t="s">
        <v>440</v>
      </c>
      <c r="K261" t="str" cm="1">
        <f t="array" ref="K261">_xlfn.IFS(VALUE(TRIM(J261))&lt;0,"BC",VALUE(TRIM(J261))&lt;200,"100",VALUE(TRIM(J261))&lt;800,"700",VALUE(TRIM(J261))&lt;900,"800",VALUE(TRIM(J261))&lt;1000,"900",VALUE(TRIM(J261))&lt;1100,"1000",VALUE(TRIM(J261))&lt;1200,"1100",VALUE(TRIM(J261))&lt;1300,"1200",VALUE(TRIM(J261))&lt;1400,"1300",VALUE(TRIM(J261))&lt;1500,"1400",VALUE(TRIM(J261))&lt;1600,"1500",VALUE(TRIM(J261))&lt;1700,"1600",VALUE(TRIM(J261))&lt;1800,"1700",VALUE(TRIM(J261))&lt;1900,"1800",VALUE(TRIM(J261))&lt;2000,"1900",VALUE(TRIM(J261))&lt;2100,"2000")</f>
        <v>1900</v>
      </c>
      <c r="M261" s="1" t="str">
        <f t="shared" si="14"/>
        <v/>
      </c>
      <c r="N261" s="1" t="str">
        <f t="shared" si="13"/>
        <v>not read</v>
      </c>
      <c r="O261" t="s">
        <v>47</v>
      </c>
    </row>
    <row r="262" spans="1:15">
      <c r="A262" s="2" t="s">
        <v>1173</v>
      </c>
      <c r="B262" t="s">
        <v>1174</v>
      </c>
      <c r="C262" t="s">
        <v>1175</v>
      </c>
      <c r="D262" s="2" t="s">
        <v>18</v>
      </c>
      <c r="E262" s="2" t="str">
        <f t="shared" si="12"/>
        <v>no rating</v>
      </c>
      <c r="F262" s="2" t="s">
        <v>36</v>
      </c>
      <c r="G262" t="s">
        <v>1176</v>
      </c>
      <c r="H262" s="2" t="s">
        <v>77</v>
      </c>
      <c r="I262" s="3" t="str" cm="1">
        <f t="array" ref="I262">_xlfn.IFS(VALUE(TRIM(H262))&lt;300,"Short",VALUE(TRIM(H262))&lt;450,"Medium",VALUE(TRIM(H262))&lt;750,"Long",TRUE,"Very Long")</f>
        <v>Medium</v>
      </c>
      <c r="J262" t="s">
        <v>150</v>
      </c>
      <c r="K262" t="str" cm="1">
        <f t="array" ref="K262">_xlfn.IFS(VALUE(TRIM(J262))&lt;0,"BC",VALUE(TRIM(J262))&lt;200,"100",VALUE(TRIM(J262))&lt;800,"700",VALUE(TRIM(J262))&lt;900,"800",VALUE(TRIM(J262))&lt;1000,"900",VALUE(TRIM(J262))&lt;1100,"1000",VALUE(TRIM(J262))&lt;1200,"1100",VALUE(TRIM(J262))&lt;1300,"1200",VALUE(TRIM(J262))&lt;1400,"1300",VALUE(TRIM(J262))&lt;1500,"1400",VALUE(TRIM(J262))&lt;1600,"1500",VALUE(TRIM(J262))&lt;1700,"1600",VALUE(TRIM(J262))&lt;1800,"1700",VALUE(TRIM(J262))&lt;1900,"1800",VALUE(TRIM(J262))&lt;2000,"1900",VALUE(TRIM(J262))&lt;2100,"2000")</f>
        <v>2000</v>
      </c>
      <c r="M262" s="1" t="str">
        <f t="shared" si="14"/>
        <v/>
      </c>
      <c r="N262" s="1" t="str">
        <f t="shared" si="13"/>
        <v>not read</v>
      </c>
      <c r="O262" t="s">
        <v>47</v>
      </c>
    </row>
    <row r="263" spans="1:15">
      <c r="A263" s="2" t="s">
        <v>1177</v>
      </c>
      <c r="B263" t="s">
        <v>1178</v>
      </c>
      <c r="C263" t="s">
        <v>1179</v>
      </c>
      <c r="D263" s="2" t="s">
        <v>1138</v>
      </c>
      <c r="E263" s="2" t="str">
        <f t="shared" si="12"/>
        <v>2</v>
      </c>
      <c r="F263" s="2" t="s">
        <v>51</v>
      </c>
      <c r="G263" t="s">
        <v>1180</v>
      </c>
      <c r="H263" s="2" t="s">
        <v>800</v>
      </c>
      <c r="I263" s="3" t="str" cm="1">
        <f t="array" ref="I263">_xlfn.IFS(VALUE(TRIM(H263))&lt;300,"Short",VALUE(TRIM(H263))&lt;450,"Medium",VALUE(TRIM(H263))&lt;750,"Long",TRUE,"Very Long")</f>
        <v>Short</v>
      </c>
      <c r="J263" t="s">
        <v>426</v>
      </c>
      <c r="K263" t="str" cm="1">
        <f t="array" ref="K263">_xlfn.IFS(VALUE(TRIM(J263))&lt;0,"BC",VALUE(TRIM(J263))&lt;200,"100",VALUE(TRIM(J263))&lt;800,"700",VALUE(TRIM(J263))&lt;900,"800",VALUE(TRIM(J263))&lt;1000,"900",VALUE(TRIM(J263))&lt;1100,"1000",VALUE(TRIM(J263))&lt;1200,"1100",VALUE(TRIM(J263))&lt;1300,"1200",VALUE(TRIM(J263))&lt;1400,"1300",VALUE(TRIM(J263))&lt;1500,"1400",VALUE(TRIM(J263))&lt;1600,"1500",VALUE(TRIM(J263))&lt;1700,"1600",VALUE(TRIM(J263))&lt;1800,"1700",VALUE(TRIM(J263))&lt;1900,"1800",VALUE(TRIM(J263))&lt;2000,"1900",VALUE(TRIM(J263))&lt;2100,"2000")</f>
        <v>2000</v>
      </c>
      <c r="L263" s="1">
        <v>45327</v>
      </c>
      <c r="M263" s="1" t="str">
        <f t="shared" si="14"/>
        <v>02/2024</v>
      </c>
      <c r="N263" s="1">
        <f t="shared" si="13"/>
        <v>45327</v>
      </c>
      <c r="O263" t="s">
        <v>32</v>
      </c>
    </row>
    <row r="264" spans="1:15">
      <c r="A264" s="2" t="s">
        <v>1181</v>
      </c>
      <c r="B264" t="s">
        <v>1182</v>
      </c>
      <c r="C264" t="s">
        <v>1183</v>
      </c>
      <c r="D264" s="2" t="s">
        <v>18</v>
      </c>
      <c r="E264" s="2" t="str">
        <f t="shared" si="12"/>
        <v>no rating</v>
      </c>
      <c r="F264" s="2" t="s">
        <v>28</v>
      </c>
      <c r="G264" t="s">
        <v>1184</v>
      </c>
      <c r="H264" s="2" t="s">
        <v>204</v>
      </c>
      <c r="I264" s="3" t="str" cm="1">
        <f t="array" ref="I264">_xlfn.IFS(VALUE(TRIM(H264))&lt;300,"Short",VALUE(TRIM(H264))&lt;450,"Medium",VALUE(TRIM(H264))&lt;750,"Long",TRUE,"Very Long")</f>
        <v>Short</v>
      </c>
      <c r="J264" t="s">
        <v>200</v>
      </c>
      <c r="K264" t="str" cm="1">
        <f t="array" ref="K264">_xlfn.IFS(VALUE(TRIM(J264))&lt;0,"BC",VALUE(TRIM(J264))&lt;200,"100",VALUE(TRIM(J264))&lt;800,"700",VALUE(TRIM(J264))&lt;900,"800",VALUE(TRIM(J264))&lt;1000,"900",VALUE(TRIM(J264))&lt;1100,"1000",VALUE(TRIM(J264))&lt;1200,"1100",VALUE(TRIM(J264))&lt;1300,"1200",VALUE(TRIM(J264))&lt;1400,"1300",VALUE(TRIM(J264))&lt;1500,"1400",VALUE(TRIM(J264))&lt;1600,"1500",VALUE(TRIM(J264))&lt;1700,"1600",VALUE(TRIM(J264))&lt;1800,"1700",VALUE(TRIM(J264))&lt;1900,"1800",VALUE(TRIM(J264))&lt;2000,"1900",VALUE(TRIM(J264))&lt;2100,"2000")</f>
        <v>2000</v>
      </c>
      <c r="M264" s="1" t="str">
        <f t="shared" si="14"/>
        <v/>
      </c>
      <c r="N264" s="1" t="str">
        <f t="shared" si="13"/>
        <v>not read</v>
      </c>
      <c r="O264" t="s">
        <v>47</v>
      </c>
    </row>
    <row r="265" spans="1:15">
      <c r="A265" s="2" t="s">
        <v>1185</v>
      </c>
      <c r="B265" t="s">
        <v>1186</v>
      </c>
      <c r="C265" t="s">
        <v>1187</v>
      </c>
      <c r="D265" s="2" t="s">
        <v>18</v>
      </c>
      <c r="E265" s="2" t="str">
        <f t="shared" si="12"/>
        <v>no rating</v>
      </c>
      <c r="F265" s="2" t="s">
        <v>19</v>
      </c>
      <c r="G265" t="s">
        <v>343</v>
      </c>
      <c r="H265" s="2" t="s">
        <v>77</v>
      </c>
      <c r="I265" s="3" t="str" cm="1">
        <f t="array" ref="I265">_xlfn.IFS(VALUE(TRIM(H265))&lt;300,"Short",VALUE(TRIM(H265))&lt;450,"Medium",VALUE(TRIM(H265))&lt;750,"Long",TRUE,"Very Long")</f>
        <v>Medium</v>
      </c>
      <c r="J265" t="s">
        <v>39</v>
      </c>
      <c r="K265" t="str" cm="1">
        <f t="array" ref="K265">_xlfn.IFS(VALUE(TRIM(J265))&lt;0,"BC",VALUE(TRIM(J265))&lt;200,"100",VALUE(TRIM(J265))&lt;800,"700",VALUE(TRIM(J265))&lt;900,"800",VALUE(TRIM(J265))&lt;1000,"900",VALUE(TRIM(J265))&lt;1100,"1000",VALUE(TRIM(J265))&lt;1200,"1100",VALUE(TRIM(J265))&lt;1300,"1200",VALUE(TRIM(J265))&lt;1400,"1300",VALUE(TRIM(J265))&lt;1500,"1400",VALUE(TRIM(J265))&lt;1600,"1500",VALUE(TRIM(J265))&lt;1700,"1600",VALUE(TRIM(J265))&lt;1800,"1700",VALUE(TRIM(J265))&lt;1900,"1800",VALUE(TRIM(J265))&lt;2000,"1900",VALUE(TRIM(J265))&lt;2100,"2000")</f>
        <v>2000</v>
      </c>
      <c r="M265" s="1" t="str">
        <f t="shared" si="14"/>
        <v/>
      </c>
      <c r="N265" s="1" t="str">
        <f t="shared" si="13"/>
        <v>not read</v>
      </c>
      <c r="O265" t="s">
        <v>47</v>
      </c>
    </row>
    <row r="266" spans="1:15">
      <c r="A266" s="2" t="s">
        <v>1188</v>
      </c>
      <c r="B266" t="s">
        <v>1189</v>
      </c>
      <c r="C266" t="s">
        <v>1190</v>
      </c>
      <c r="D266" s="2" t="s">
        <v>18</v>
      </c>
      <c r="E266" s="2" t="str">
        <f t="shared" si="12"/>
        <v>no rating</v>
      </c>
      <c r="F266" s="2" t="s">
        <v>43</v>
      </c>
      <c r="G266" t="s">
        <v>1191</v>
      </c>
      <c r="H266" s="2" t="s">
        <v>779</v>
      </c>
      <c r="I266" s="3" t="str" cm="1">
        <f t="array" ref="I266">_xlfn.IFS(VALUE(TRIM(H266))&lt;300,"Short",VALUE(TRIM(H266))&lt;450,"Medium",VALUE(TRIM(H266))&lt;750,"Long",TRUE,"Very Long")</f>
        <v>Short</v>
      </c>
      <c r="J266" t="s">
        <v>1192</v>
      </c>
      <c r="K266" t="str" cm="1">
        <f t="array" ref="K266">_xlfn.IFS(VALUE(TRIM(J266))&lt;0,"BC",VALUE(TRIM(J266))&lt;200,"100",VALUE(TRIM(J266))&lt;800,"700",VALUE(TRIM(J266))&lt;900,"800",VALUE(TRIM(J266))&lt;1000,"900",VALUE(TRIM(J266))&lt;1100,"1000",VALUE(TRIM(J266))&lt;1200,"1100",VALUE(TRIM(J266))&lt;1300,"1200",VALUE(TRIM(J266))&lt;1400,"1300",VALUE(TRIM(J266))&lt;1500,"1400",VALUE(TRIM(J266))&lt;1600,"1500",VALUE(TRIM(J266))&lt;1700,"1600",VALUE(TRIM(J266))&lt;1800,"1700",VALUE(TRIM(J266))&lt;1900,"1800",VALUE(TRIM(J266))&lt;2000,"1900",VALUE(TRIM(J266))&lt;2100,"2000")</f>
        <v>1900</v>
      </c>
      <c r="M266" s="1" t="str">
        <f t="shared" si="14"/>
        <v/>
      </c>
      <c r="N266" s="1" t="str">
        <f t="shared" si="13"/>
        <v>not read</v>
      </c>
      <c r="O266" t="s">
        <v>47</v>
      </c>
    </row>
    <row r="267" spans="1:15">
      <c r="A267" s="2" t="s">
        <v>1193</v>
      </c>
      <c r="B267" t="s">
        <v>1194</v>
      </c>
      <c r="C267" t="s">
        <v>1195</v>
      </c>
      <c r="D267" s="2" t="s">
        <v>18</v>
      </c>
      <c r="E267" s="2" t="str">
        <f t="shared" si="12"/>
        <v>no rating</v>
      </c>
      <c r="F267" s="2" t="s">
        <v>69</v>
      </c>
      <c r="G267" t="s">
        <v>275</v>
      </c>
      <c r="H267" s="2" t="s">
        <v>1090</v>
      </c>
      <c r="I267" s="3" t="str" cm="1">
        <f t="array" ref="I267">_xlfn.IFS(VALUE(TRIM(H267))&lt;300,"Short",VALUE(TRIM(H267))&lt;450,"Medium",VALUE(TRIM(H267))&lt;750,"Long",TRUE,"Very Long")</f>
        <v>Short</v>
      </c>
      <c r="J267" t="s">
        <v>31</v>
      </c>
      <c r="K267" t="str" cm="1">
        <f t="array" ref="K267">_xlfn.IFS(VALUE(TRIM(J267))&lt;0,"BC",VALUE(TRIM(J267))&lt;200,"100",VALUE(TRIM(J267))&lt;800,"700",VALUE(TRIM(J267))&lt;900,"800",VALUE(TRIM(J267))&lt;1000,"900",VALUE(TRIM(J267))&lt;1100,"1000",VALUE(TRIM(J267))&lt;1200,"1100",VALUE(TRIM(J267))&lt;1300,"1200",VALUE(TRIM(J267))&lt;1400,"1300",VALUE(TRIM(J267))&lt;1500,"1400",VALUE(TRIM(J267))&lt;1600,"1500",VALUE(TRIM(J267))&lt;1700,"1600",VALUE(TRIM(J267))&lt;1800,"1700",VALUE(TRIM(J267))&lt;1900,"1800",VALUE(TRIM(J267))&lt;2000,"1900",VALUE(TRIM(J267))&lt;2100,"2000")</f>
        <v>2000</v>
      </c>
      <c r="M267" s="1" t="str">
        <f t="shared" si="14"/>
        <v/>
      </c>
      <c r="N267" s="1" t="str">
        <f t="shared" si="13"/>
        <v>not read</v>
      </c>
      <c r="O267" t="s">
        <v>47</v>
      </c>
    </row>
    <row r="268" spans="1:15">
      <c r="A268" s="2" t="s">
        <v>1196</v>
      </c>
      <c r="B268" t="s">
        <v>1197</v>
      </c>
      <c r="C268" t="s">
        <v>1067</v>
      </c>
      <c r="D268" s="2" t="s">
        <v>18</v>
      </c>
      <c r="E268" s="2" t="str">
        <f t="shared" si="12"/>
        <v>no rating</v>
      </c>
      <c r="F268" s="2" t="s">
        <v>473</v>
      </c>
      <c r="G268" t="s">
        <v>556</v>
      </c>
      <c r="H268" s="2" t="s">
        <v>1198</v>
      </c>
      <c r="I268" s="3" t="str" cm="1">
        <f t="array" ref="I268">_xlfn.IFS(VALUE(TRIM(H268))&lt;300,"Short",VALUE(TRIM(H268))&lt;450,"Medium",VALUE(TRIM(H268))&lt;750,"Long",TRUE,"Very Long")</f>
        <v>Short</v>
      </c>
      <c r="J268" t="s">
        <v>98</v>
      </c>
      <c r="K268" t="str" cm="1">
        <f t="array" ref="K268">_xlfn.IFS(VALUE(TRIM(J268))&lt;0,"BC",VALUE(TRIM(J268))&lt;200,"100",VALUE(TRIM(J268))&lt;800,"700",VALUE(TRIM(J268))&lt;900,"800",VALUE(TRIM(J268))&lt;1000,"900",VALUE(TRIM(J268))&lt;1100,"1000",VALUE(TRIM(J268))&lt;1200,"1100",VALUE(TRIM(J268))&lt;1300,"1200",VALUE(TRIM(J268))&lt;1400,"1300",VALUE(TRIM(J268))&lt;1500,"1400",VALUE(TRIM(J268))&lt;1600,"1500",VALUE(TRIM(J268))&lt;1700,"1600",VALUE(TRIM(J268))&lt;1800,"1700",VALUE(TRIM(J268))&lt;1900,"1800",VALUE(TRIM(J268))&lt;2000,"1900",VALUE(TRIM(J268))&lt;2100,"2000")</f>
        <v>1900</v>
      </c>
      <c r="M268" s="1" t="str">
        <f t="shared" si="14"/>
        <v/>
      </c>
      <c r="N268" s="1" t="str">
        <f t="shared" si="13"/>
        <v>not read</v>
      </c>
      <c r="O268" t="s">
        <v>47</v>
      </c>
    </row>
    <row r="269" spans="1:15">
      <c r="A269" s="2" t="s">
        <v>1199</v>
      </c>
      <c r="B269" t="s">
        <v>1200</v>
      </c>
      <c r="C269" t="s">
        <v>1201</v>
      </c>
      <c r="D269" s="2" t="s">
        <v>27</v>
      </c>
      <c r="E269" s="2" t="str">
        <f t="shared" si="12"/>
        <v>3</v>
      </c>
      <c r="F269" s="2" t="s">
        <v>82</v>
      </c>
      <c r="G269" t="s">
        <v>520</v>
      </c>
      <c r="H269" s="2" t="s">
        <v>1202</v>
      </c>
      <c r="I269" s="3" t="str" cm="1">
        <f t="array" ref="I269">_xlfn.IFS(VALUE(TRIM(H269))&lt;300,"Short",VALUE(TRIM(H269))&lt;450,"Medium",VALUE(TRIM(H269))&lt;750,"Long",TRUE,"Very Long")</f>
        <v>Short</v>
      </c>
      <c r="J269" t="s">
        <v>244</v>
      </c>
      <c r="K269" t="str" cm="1">
        <f t="array" ref="K269">_xlfn.IFS(VALUE(TRIM(J269))&lt;0,"BC",VALUE(TRIM(J269))&lt;200,"100",VALUE(TRIM(J269))&lt;800,"700",VALUE(TRIM(J269))&lt;900,"800",VALUE(TRIM(J269))&lt;1000,"900",VALUE(TRIM(J269))&lt;1100,"1000",VALUE(TRIM(J269))&lt;1200,"1100",VALUE(TRIM(J269))&lt;1300,"1200",VALUE(TRIM(J269))&lt;1400,"1300",VALUE(TRIM(J269))&lt;1500,"1400",VALUE(TRIM(J269))&lt;1600,"1500",VALUE(TRIM(J269))&lt;1700,"1600",VALUE(TRIM(J269))&lt;1800,"1700",VALUE(TRIM(J269))&lt;1900,"1800",VALUE(TRIM(J269))&lt;2000,"1900",VALUE(TRIM(J269))&lt;2100,"2000")</f>
        <v>2000</v>
      </c>
      <c r="L269" s="1">
        <v>45310</v>
      </c>
      <c r="M269" s="1" t="str">
        <f t="shared" si="14"/>
        <v>01/2024</v>
      </c>
      <c r="N269" s="1">
        <f t="shared" si="13"/>
        <v>45310</v>
      </c>
      <c r="O269" t="s">
        <v>32</v>
      </c>
    </row>
    <row r="270" spans="1:15">
      <c r="A270" s="2" t="s">
        <v>1203</v>
      </c>
      <c r="B270" t="s">
        <v>1204</v>
      </c>
      <c r="C270" t="s">
        <v>1205</v>
      </c>
      <c r="D270" s="2" t="s">
        <v>1138</v>
      </c>
      <c r="E270" s="2" t="str">
        <f t="shared" si="12"/>
        <v>2</v>
      </c>
      <c r="F270" s="2" t="s">
        <v>1158</v>
      </c>
      <c r="G270" t="s">
        <v>320</v>
      </c>
      <c r="H270" s="2" t="s">
        <v>156</v>
      </c>
      <c r="I270" s="3" t="str" cm="1">
        <f t="array" ref="I270">_xlfn.IFS(VALUE(TRIM(H270))&lt;300,"Short",VALUE(TRIM(H270))&lt;450,"Medium",VALUE(TRIM(H270))&lt;750,"Long",TRUE,"Very Long")</f>
        <v>Short</v>
      </c>
      <c r="J270" t="s">
        <v>110</v>
      </c>
      <c r="K270" t="str" cm="1">
        <f t="array" ref="K270">_xlfn.IFS(VALUE(TRIM(J270))&lt;0,"BC",VALUE(TRIM(J270))&lt;200,"100",VALUE(TRIM(J270))&lt;800,"700",VALUE(TRIM(J270))&lt;900,"800",VALUE(TRIM(J270))&lt;1000,"900",VALUE(TRIM(J270))&lt;1100,"1000",VALUE(TRIM(J270))&lt;1200,"1100",VALUE(TRIM(J270))&lt;1300,"1200",VALUE(TRIM(J270))&lt;1400,"1300",VALUE(TRIM(J270))&lt;1500,"1400",VALUE(TRIM(J270))&lt;1600,"1500",VALUE(TRIM(J270))&lt;1700,"1600",VALUE(TRIM(J270))&lt;1800,"1700",VALUE(TRIM(J270))&lt;1900,"1800",VALUE(TRIM(J270))&lt;2000,"1900",VALUE(TRIM(J270))&lt;2100,"2000")</f>
        <v>2000</v>
      </c>
      <c r="L270" s="1">
        <v>45306</v>
      </c>
      <c r="M270" s="1" t="str">
        <f t="shared" si="14"/>
        <v>01/2024</v>
      </c>
      <c r="N270" s="1">
        <f t="shared" si="13"/>
        <v>45306</v>
      </c>
      <c r="O270" t="s">
        <v>32</v>
      </c>
    </row>
    <row r="271" spans="1:15">
      <c r="A271" s="2" t="s">
        <v>1206</v>
      </c>
      <c r="B271" t="s">
        <v>1207</v>
      </c>
      <c r="C271" t="s">
        <v>1208</v>
      </c>
      <c r="D271" s="2" t="s">
        <v>18</v>
      </c>
      <c r="E271" s="2" t="str">
        <f t="shared" si="12"/>
        <v>no rating</v>
      </c>
      <c r="F271" s="2" t="s">
        <v>69</v>
      </c>
      <c r="G271" t="s">
        <v>509</v>
      </c>
      <c r="H271" s="2" t="s">
        <v>1209</v>
      </c>
      <c r="I271" s="3" t="str" cm="1">
        <f t="array" ref="I271">_xlfn.IFS(VALUE(TRIM(H271))&lt;300,"Short",VALUE(TRIM(H271))&lt;450,"Medium",VALUE(TRIM(H271))&lt;750,"Long",TRUE,"Very Long")</f>
        <v>Medium</v>
      </c>
      <c r="J271" t="s">
        <v>426</v>
      </c>
      <c r="K271" t="str" cm="1">
        <f t="array" ref="K271">_xlfn.IFS(VALUE(TRIM(J271))&lt;0,"BC",VALUE(TRIM(J271))&lt;200,"100",VALUE(TRIM(J271))&lt;800,"700",VALUE(TRIM(J271))&lt;900,"800",VALUE(TRIM(J271))&lt;1000,"900",VALUE(TRIM(J271))&lt;1100,"1000",VALUE(TRIM(J271))&lt;1200,"1100",VALUE(TRIM(J271))&lt;1300,"1200",VALUE(TRIM(J271))&lt;1400,"1300",VALUE(TRIM(J271))&lt;1500,"1400",VALUE(TRIM(J271))&lt;1600,"1500",VALUE(TRIM(J271))&lt;1700,"1600",VALUE(TRIM(J271))&lt;1800,"1700",VALUE(TRIM(J271))&lt;1900,"1800",VALUE(TRIM(J271))&lt;2000,"1900",VALUE(TRIM(J271))&lt;2100,"2000")</f>
        <v>2000</v>
      </c>
      <c r="M271" s="1" t="str">
        <f t="shared" si="14"/>
        <v/>
      </c>
      <c r="N271" s="1" t="str">
        <f t="shared" si="13"/>
        <v>not read</v>
      </c>
      <c r="O271" t="s">
        <v>47</v>
      </c>
    </row>
    <row r="272" spans="1:15">
      <c r="A272" s="2" t="s">
        <v>1210</v>
      </c>
      <c r="B272" t="s">
        <v>1211</v>
      </c>
      <c r="C272" t="s">
        <v>1212</v>
      </c>
      <c r="D272" s="2" t="s">
        <v>18</v>
      </c>
      <c r="E272" s="2" t="str">
        <f t="shared" si="12"/>
        <v>no rating</v>
      </c>
      <c r="F272" s="2" t="s">
        <v>154</v>
      </c>
      <c r="G272" t="s">
        <v>20</v>
      </c>
      <c r="H272" s="2" t="s">
        <v>374</v>
      </c>
      <c r="I272" s="3" t="str" cm="1">
        <f t="array" ref="I272">_xlfn.IFS(VALUE(TRIM(H272))&lt;300,"Short",VALUE(TRIM(H272))&lt;450,"Medium",VALUE(TRIM(H272))&lt;750,"Long",TRUE,"Very Long")</f>
        <v>Short</v>
      </c>
      <c r="J272" t="s">
        <v>259</v>
      </c>
      <c r="K272" t="str" cm="1">
        <f t="array" ref="K272">_xlfn.IFS(VALUE(TRIM(J272))&lt;0,"BC",VALUE(TRIM(J272))&lt;200,"100",VALUE(TRIM(J272))&lt;800,"700",VALUE(TRIM(J272))&lt;900,"800",VALUE(TRIM(J272))&lt;1000,"900",VALUE(TRIM(J272))&lt;1100,"1000",VALUE(TRIM(J272))&lt;1200,"1100",VALUE(TRIM(J272))&lt;1300,"1200",VALUE(TRIM(J272))&lt;1400,"1300",VALUE(TRIM(J272))&lt;1500,"1400",VALUE(TRIM(J272))&lt;1600,"1500",VALUE(TRIM(J272))&lt;1700,"1600",VALUE(TRIM(J272))&lt;1800,"1700",VALUE(TRIM(J272))&lt;1900,"1800",VALUE(TRIM(J272))&lt;2000,"1900",VALUE(TRIM(J272))&lt;2100,"2000")</f>
        <v>2000</v>
      </c>
      <c r="M272" s="1" t="str">
        <f t="shared" si="14"/>
        <v/>
      </c>
      <c r="N272" s="1" t="str">
        <f t="shared" si="13"/>
        <v>not read</v>
      </c>
      <c r="O272" t="s">
        <v>47</v>
      </c>
    </row>
    <row r="273" spans="1:15">
      <c r="A273" s="2" t="s">
        <v>1213</v>
      </c>
      <c r="B273" t="s">
        <v>1214</v>
      </c>
      <c r="C273" t="s">
        <v>1215</v>
      </c>
      <c r="D273" s="2" t="s">
        <v>18</v>
      </c>
      <c r="E273" s="2" t="str">
        <f t="shared" si="12"/>
        <v>no rating</v>
      </c>
      <c r="F273" s="2" t="s">
        <v>43</v>
      </c>
      <c r="G273" t="s">
        <v>1216</v>
      </c>
      <c r="H273" s="2" t="s">
        <v>485</v>
      </c>
      <c r="I273" s="3" t="str" cm="1">
        <f t="array" ref="I273">_xlfn.IFS(VALUE(TRIM(H273))&lt;300,"Short",VALUE(TRIM(H273))&lt;450,"Medium",VALUE(TRIM(H273))&lt;750,"Long",TRUE,"Very Long")</f>
        <v>Medium</v>
      </c>
      <c r="J273" t="s">
        <v>150</v>
      </c>
      <c r="K273" t="str" cm="1">
        <f t="array" ref="K273">_xlfn.IFS(VALUE(TRIM(J273))&lt;0,"BC",VALUE(TRIM(J273))&lt;200,"100",VALUE(TRIM(J273))&lt;800,"700",VALUE(TRIM(J273))&lt;900,"800",VALUE(TRIM(J273))&lt;1000,"900",VALUE(TRIM(J273))&lt;1100,"1000",VALUE(TRIM(J273))&lt;1200,"1100",VALUE(TRIM(J273))&lt;1300,"1200",VALUE(TRIM(J273))&lt;1400,"1300",VALUE(TRIM(J273))&lt;1500,"1400",VALUE(TRIM(J273))&lt;1600,"1500",VALUE(TRIM(J273))&lt;1700,"1600",VALUE(TRIM(J273))&lt;1800,"1700",VALUE(TRIM(J273))&lt;1900,"1800",VALUE(TRIM(J273))&lt;2000,"1900",VALUE(TRIM(J273))&lt;2100,"2000")</f>
        <v>2000</v>
      </c>
      <c r="M273" s="1" t="str">
        <f t="shared" si="14"/>
        <v/>
      </c>
      <c r="N273" s="1" t="str">
        <f t="shared" si="13"/>
        <v>not read</v>
      </c>
      <c r="O273" t="s">
        <v>47</v>
      </c>
    </row>
    <row r="274" spans="1:15">
      <c r="A274" s="2" t="s">
        <v>1217</v>
      </c>
      <c r="B274" t="s">
        <v>1218</v>
      </c>
      <c r="C274" t="s">
        <v>1219</v>
      </c>
      <c r="D274" s="2" t="s">
        <v>18</v>
      </c>
      <c r="E274" s="2" t="str">
        <f t="shared" si="12"/>
        <v>no rating</v>
      </c>
      <c r="F274" s="2" t="s">
        <v>19</v>
      </c>
      <c r="G274" t="s">
        <v>525</v>
      </c>
      <c r="H274" s="2" t="s">
        <v>1220</v>
      </c>
      <c r="I274" s="3" t="str" cm="1">
        <f t="array" ref="I274">_xlfn.IFS(VALUE(TRIM(H274))&lt;300,"Short",VALUE(TRIM(H274))&lt;450,"Medium",VALUE(TRIM(H274))&lt;750,"Long",TRUE,"Very Long")</f>
        <v>Short</v>
      </c>
      <c r="J274" t="s">
        <v>54</v>
      </c>
      <c r="K274" t="str" cm="1">
        <f t="array" ref="K274">_xlfn.IFS(VALUE(TRIM(J274))&lt;0,"BC",VALUE(TRIM(J274))&lt;200,"100",VALUE(TRIM(J274))&lt;800,"700",VALUE(TRIM(J274))&lt;900,"800",VALUE(TRIM(J274))&lt;1000,"900",VALUE(TRIM(J274))&lt;1100,"1000",VALUE(TRIM(J274))&lt;1200,"1100",VALUE(TRIM(J274))&lt;1300,"1200",VALUE(TRIM(J274))&lt;1400,"1300",VALUE(TRIM(J274))&lt;1500,"1400",VALUE(TRIM(J274))&lt;1600,"1500",VALUE(TRIM(J274))&lt;1700,"1600",VALUE(TRIM(J274))&lt;1800,"1700",VALUE(TRIM(J274))&lt;1900,"1800",VALUE(TRIM(J274))&lt;2000,"1900",VALUE(TRIM(J274))&lt;2100,"2000")</f>
        <v>2000</v>
      </c>
      <c r="M274" s="1" t="str">
        <f t="shared" si="14"/>
        <v/>
      </c>
      <c r="N274" s="1" t="str">
        <f t="shared" si="13"/>
        <v>not read</v>
      </c>
      <c r="O274" t="s">
        <v>47</v>
      </c>
    </row>
    <row r="275" spans="1:15">
      <c r="A275" s="2" t="s">
        <v>1221</v>
      </c>
      <c r="B275" t="s">
        <v>1222</v>
      </c>
      <c r="C275" t="s">
        <v>1223</v>
      </c>
      <c r="D275" s="2" t="s">
        <v>36</v>
      </c>
      <c r="E275" s="2" t="str">
        <f t="shared" si="12"/>
        <v>4</v>
      </c>
      <c r="F275" s="2" t="s">
        <v>19</v>
      </c>
      <c r="G275" t="s">
        <v>649</v>
      </c>
      <c r="H275" s="2" t="s">
        <v>1224</v>
      </c>
      <c r="I275" s="3" t="str" cm="1">
        <f t="array" ref="I275">_xlfn.IFS(VALUE(TRIM(H275))&lt;300,"Short",VALUE(TRIM(H275))&lt;450,"Medium",VALUE(TRIM(H275))&lt;750,"Long",TRUE,"Very Long")</f>
        <v>Short</v>
      </c>
      <c r="J275" t="s">
        <v>780</v>
      </c>
      <c r="K275" t="str" cm="1">
        <f t="array" ref="K275">_xlfn.IFS(VALUE(TRIM(J275))&lt;0,"BC",VALUE(TRIM(J275))&lt;200,"100",VALUE(TRIM(J275))&lt;800,"700",VALUE(TRIM(J275))&lt;900,"800",VALUE(TRIM(J275))&lt;1000,"900",VALUE(TRIM(J275))&lt;1100,"1000",VALUE(TRIM(J275))&lt;1200,"1100",VALUE(TRIM(J275))&lt;1300,"1200",VALUE(TRIM(J275))&lt;1400,"1300",VALUE(TRIM(J275))&lt;1500,"1400",VALUE(TRIM(J275))&lt;1600,"1500",VALUE(TRIM(J275))&lt;1700,"1600",VALUE(TRIM(J275))&lt;1800,"1700",VALUE(TRIM(J275))&lt;1900,"1800",VALUE(TRIM(J275))&lt;2000,"1900",VALUE(TRIM(J275))&lt;2100,"2000")</f>
        <v>1900</v>
      </c>
      <c r="L275" s="1">
        <v>45292</v>
      </c>
      <c r="M275" s="1" t="str">
        <f t="shared" si="14"/>
        <v>01/2024</v>
      </c>
      <c r="N275" s="1">
        <f t="shared" si="13"/>
        <v>45292</v>
      </c>
      <c r="O275" t="s">
        <v>32</v>
      </c>
    </row>
    <row r="276" spans="1:15">
      <c r="A276" s="2" t="s">
        <v>1225</v>
      </c>
      <c r="B276" t="s">
        <v>1226</v>
      </c>
      <c r="C276" t="s">
        <v>1227</v>
      </c>
      <c r="D276" s="2" t="s">
        <v>27</v>
      </c>
      <c r="E276" s="2" t="str">
        <f t="shared" si="12"/>
        <v>3</v>
      </c>
      <c r="F276" s="2" t="s">
        <v>19</v>
      </c>
      <c r="G276" t="s">
        <v>434</v>
      </c>
      <c r="H276" s="2" t="s">
        <v>1228</v>
      </c>
      <c r="I276" s="3" t="str" cm="1">
        <f t="array" ref="I276">_xlfn.IFS(VALUE(TRIM(H276))&lt;300,"Short",VALUE(TRIM(H276))&lt;450,"Medium",VALUE(TRIM(H276))&lt;750,"Long",TRUE,"Very Long")</f>
        <v>Very Long</v>
      </c>
      <c r="J276" t="s">
        <v>1229</v>
      </c>
      <c r="K276" t="str" cm="1">
        <f t="array" ref="K276">_xlfn.IFS(VALUE(TRIM(J276))&lt;0,"BC",VALUE(TRIM(J276))&lt;200,"100",VALUE(TRIM(J276))&lt;800,"700",VALUE(TRIM(J276))&lt;900,"800",VALUE(TRIM(J276))&lt;1000,"900",VALUE(TRIM(J276))&lt;1100,"1000",VALUE(TRIM(J276))&lt;1200,"1100",VALUE(TRIM(J276))&lt;1300,"1200",VALUE(TRIM(J276))&lt;1400,"1300",VALUE(TRIM(J276))&lt;1500,"1400",VALUE(TRIM(J276))&lt;1600,"1500",VALUE(TRIM(J276))&lt;1700,"1600",VALUE(TRIM(J276))&lt;1800,"1700",VALUE(TRIM(J276))&lt;1900,"1800",VALUE(TRIM(J276))&lt;2000,"1900",VALUE(TRIM(J276))&lt;2100,"2000")</f>
        <v>1300</v>
      </c>
      <c r="L276" s="1">
        <v>45280</v>
      </c>
      <c r="M276" s="1" t="str">
        <f t="shared" si="14"/>
        <v>12/2023</v>
      </c>
      <c r="N276" s="1">
        <f t="shared" si="13"/>
        <v>45280</v>
      </c>
      <c r="O276" t="s">
        <v>32</v>
      </c>
    </row>
    <row r="277" spans="1:15">
      <c r="A277" s="2" t="s">
        <v>1230</v>
      </c>
      <c r="B277" t="s">
        <v>1231</v>
      </c>
      <c r="C277" t="s">
        <v>1232</v>
      </c>
      <c r="D277" s="2" t="s">
        <v>18</v>
      </c>
      <c r="E277" s="2" t="str">
        <f t="shared" si="12"/>
        <v>no rating</v>
      </c>
      <c r="F277" s="2" t="s">
        <v>51</v>
      </c>
      <c r="G277" t="s">
        <v>556</v>
      </c>
      <c r="H277" s="2" t="s">
        <v>97</v>
      </c>
      <c r="I277" s="3" t="str" cm="1">
        <f t="array" ref="I277">_xlfn.IFS(VALUE(TRIM(H277))&lt;300,"Short",VALUE(TRIM(H277))&lt;450,"Medium",VALUE(TRIM(H277))&lt;750,"Long",TRUE,"Very Long")</f>
        <v>Short</v>
      </c>
      <c r="J277" t="s">
        <v>1233</v>
      </c>
      <c r="K277" t="str" cm="1">
        <f t="array" ref="K277">_xlfn.IFS(VALUE(TRIM(J277))&lt;0,"BC",VALUE(TRIM(J277))&lt;200,"100",VALUE(TRIM(J277))&lt;800,"700",VALUE(TRIM(J277))&lt;900,"800",VALUE(TRIM(J277))&lt;1000,"900",VALUE(TRIM(J277))&lt;1100,"1000",VALUE(TRIM(J277))&lt;1200,"1100",VALUE(TRIM(J277))&lt;1300,"1200",VALUE(TRIM(J277))&lt;1400,"1300",VALUE(TRIM(J277))&lt;1500,"1400",VALUE(TRIM(J277))&lt;1600,"1500",VALUE(TRIM(J277))&lt;1700,"1600",VALUE(TRIM(J277))&lt;1800,"1700",VALUE(TRIM(J277))&lt;1900,"1800",VALUE(TRIM(J277))&lt;2000,"1900",VALUE(TRIM(J277))&lt;2100,"2000")</f>
        <v>1900</v>
      </c>
      <c r="M277" s="1" t="str">
        <f t="shared" si="14"/>
        <v/>
      </c>
      <c r="N277" s="1" t="str">
        <f t="shared" si="13"/>
        <v>not read</v>
      </c>
      <c r="O277" t="s">
        <v>47</v>
      </c>
    </row>
    <row r="278" spans="1:15">
      <c r="A278" s="2" t="s">
        <v>1234</v>
      </c>
      <c r="B278" t="s">
        <v>1235</v>
      </c>
      <c r="C278" t="s">
        <v>1236</v>
      </c>
      <c r="D278" s="2" t="s">
        <v>18</v>
      </c>
      <c r="E278" s="2" t="str">
        <f t="shared" si="12"/>
        <v>no rating</v>
      </c>
      <c r="F278" s="2" t="s">
        <v>43</v>
      </c>
      <c r="G278" t="s">
        <v>465</v>
      </c>
      <c r="H278" s="2" t="s">
        <v>156</v>
      </c>
      <c r="I278" s="3" t="str" cm="1">
        <f t="array" ref="I278">_xlfn.IFS(VALUE(TRIM(H278))&lt;300,"Short",VALUE(TRIM(H278))&lt;450,"Medium",VALUE(TRIM(H278))&lt;750,"Long",TRUE,"Very Long")</f>
        <v>Short</v>
      </c>
      <c r="J278" t="s">
        <v>110</v>
      </c>
      <c r="K278" t="str" cm="1">
        <f t="array" ref="K278">_xlfn.IFS(VALUE(TRIM(J278))&lt;0,"BC",VALUE(TRIM(J278))&lt;200,"100",VALUE(TRIM(J278))&lt;800,"700",VALUE(TRIM(J278))&lt;900,"800",VALUE(TRIM(J278))&lt;1000,"900",VALUE(TRIM(J278))&lt;1100,"1000",VALUE(TRIM(J278))&lt;1200,"1100",VALUE(TRIM(J278))&lt;1300,"1200",VALUE(TRIM(J278))&lt;1400,"1300",VALUE(TRIM(J278))&lt;1500,"1400",VALUE(TRIM(J278))&lt;1600,"1500",VALUE(TRIM(J278))&lt;1700,"1600",VALUE(TRIM(J278))&lt;1800,"1700",VALUE(TRIM(J278))&lt;1900,"1800",VALUE(TRIM(J278))&lt;2000,"1900",VALUE(TRIM(J278))&lt;2100,"2000")</f>
        <v>2000</v>
      </c>
      <c r="M278" s="1" t="str">
        <f t="shared" si="14"/>
        <v/>
      </c>
      <c r="N278" s="1" t="str">
        <f t="shared" si="13"/>
        <v>not read</v>
      </c>
      <c r="O278" t="s">
        <v>47</v>
      </c>
    </row>
    <row r="279" spans="1:15">
      <c r="A279" s="2" t="s">
        <v>1237</v>
      </c>
      <c r="B279" t="s">
        <v>1238</v>
      </c>
      <c r="C279" t="s">
        <v>1239</v>
      </c>
      <c r="D279" s="2" t="s">
        <v>18</v>
      </c>
      <c r="E279" s="2" t="str">
        <f t="shared" si="12"/>
        <v>no rating</v>
      </c>
      <c r="F279" s="2" t="s">
        <v>69</v>
      </c>
      <c r="G279" t="s">
        <v>1018</v>
      </c>
      <c r="H279" s="2" t="s">
        <v>271</v>
      </c>
      <c r="I279" s="3" t="str" cm="1">
        <f t="array" ref="I279">_xlfn.IFS(VALUE(TRIM(H279))&lt;300,"Short",VALUE(TRIM(H279))&lt;450,"Medium",VALUE(TRIM(H279))&lt;750,"Long",TRUE,"Very Long")</f>
        <v>Medium</v>
      </c>
      <c r="J279" t="s">
        <v>104</v>
      </c>
      <c r="K279" t="str" cm="1">
        <f t="array" ref="K279">_xlfn.IFS(VALUE(TRIM(J279))&lt;0,"BC",VALUE(TRIM(J279))&lt;200,"100",VALUE(TRIM(J279))&lt;800,"700",VALUE(TRIM(J279))&lt;900,"800",VALUE(TRIM(J279))&lt;1000,"900",VALUE(TRIM(J279))&lt;1100,"1000",VALUE(TRIM(J279))&lt;1200,"1100",VALUE(TRIM(J279))&lt;1300,"1200",VALUE(TRIM(J279))&lt;1400,"1300",VALUE(TRIM(J279))&lt;1500,"1400",VALUE(TRIM(J279))&lt;1600,"1500",VALUE(TRIM(J279))&lt;1700,"1600",VALUE(TRIM(J279))&lt;1800,"1700",VALUE(TRIM(J279))&lt;1900,"1800",VALUE(TRIM(J279))&lt;2000,"1900",VALUE(TRIM(J279))&lt;2100,"2000")</f>
        <v>2000</v>
      </c>
      <c r="M279" s="1" t="str">
        <f t="shared" si="14"/>
        <v/>
      </c>
      <c r="N279" s="1" t="str">
        <f t="shared" si="13"/>
        <v>not read</v>
      </c>
      <c r="O279" t="s">
        <v>47</v>
      </c>
    </row>
    <row r="280" spans="1:15">
      <c r="A280" s="2" t="s">
        <v>1240</v>
      </c>
      <c r="B280" t="s">
        <v>1241</v>
      </c>
      <c r="C280" t="s">
        <v>1137</v>
      </c>
      <c r="D280" s="2" t="s">
        <v>18</v>
      </c>
      <c r="E280" s="2" t="str">
        <f t="shared" si="12"/>
        <v>no rating</v>
      </c>
      <c r="F280" s="2" t="s">
        <v>19</v>
      </c>
      <c r="G280" t="s">
        <v>556</v>
      </c>
      <c r="H280" s="2" t="s">
        <v>1242</v>
      </c>
      <c r="I280" s="3" t="str" cm="1">
        <f t="array" ref="I280">_xlfn.IFS(VALUE(TRIM(H280))&lt;300,"Short",VALUE(TRIM(H280))&lt;450,"Medium",VALUE(TRIM(H280))&lt;750,"Long",TRUE,"Very Long")</f>
        <v>Long</v>
      </c>
      <c r="J280" t="s">
        <v>174</v>
      </c>
      <c r="K280" t="str" cm="1">
        <f t="array" ref="K280">_xlfn.IFS(VALUE(TRIM(J280))&lt;0,"BC",VALUE(TRIM(J280))&lt;200,"100",VALUE(TRIM(J280))&lt;800,"700",VALUE(TRIM(J280))&lt;900,"800",VALUE(TRIM(J280))&lt;1000,"900",VALUE(TRIM(J280))&lt;1100,"1000",VALUE(TRIM(J280))&lt;1200,"1100",VALUE(TRIM(J280))&lt;1300,"1200",VALUE(TRIM(J280))&lt;1400,"1300",VALUE(TRIM(J280))&lt;1500,"1400",VALUE(TRIM(J280))&lt;1600,"1500",VALUE(TRIM(J280))&lt;1700,"1600",VALUE(TRIM(J280))&lt;1800,"1700",VALUE(TRIM(J280))&lt;1900,"1800",VALUE(TRIM(J280))&lt;2000,"1900",VALUE(TRIM(J280))&lt;2100,"2000")</f>
        <v>2000</v>
      </c>
      <c r="L280" s="1">
        <v>45178</v>
      </c>
      <c r="M280" s="1" t="str">
        <f t="shared" si="14"/>
        <v>09/2023</v>
      </c>
      <c r="N280" s="1">
        <f t="shared" si="13"/>
        <v>45178</v>
      </c>
      <c r="O280" t="s">
        <v>740</v>
      </c>
    </row>
    <row r="281" spans="1:15">
      <c r="A281" s="2" t="s">
        <v>1243</v>
      </c>
      <c r="B281" t="s">
        <v>1244</v>
      </c>
      <c r="C281" t="s">
        <v>1137</v>
      </c>
      <c r="D281" s="2" t="s">
        <v>18</v>
      </c>
      <c r="E281" s="2" t="str">
        <f t="shared" si="12"/>
        <v>no rating</v>
      </c>
      <c r="F281" s="2" t="s">
        <v>36</v>
      </c>
      <c r="G281" t="s">
        <v>556</v>
      </c>
      <c r="H281" s="2" t="s">
        <v>53</v>
      </c>
      <c r="I281" s="3" t="str" cm="1">
        <f t="array" ref="I281">_xlfn.IFS(VALUE(TRIM(H281))&lt;300,"Short",VALUE(TRIM(H281))&lt;450,"Medium",VALUE(TRIM(H281))&lt;750,"Long",TRUE,"Very Long")</f>
        <v>Short</v>
      </c>
      <c r="J281" t="s">
        <v>180</v>
      </c>
      <c r="K281" t="str" cm="1">
        <f t="array" ref="K281">_xlfn.IFS(VALUE(TRIM(J281))&lt;0,"BC",VALUE(TRIM(J281))&lt;200,"100",VALUE(TRIM(J281))&lt;800,"700",VALUE(TRIM(J281))&lt;900,"800",VALUE(TRIM(J281))&lt;1000,"900",VALUE(TRIM(J281))&lt;1100,"1000",VALUE(TRIM(J281))&lt;1200,"1100",VALUE(TRIM(J281))&lt;1300,"1200",VALUE(TRIM(J281))&lt;1400,"1300",VALUE(TRIM(J281))&lt;1500,"1400",VALUE(TRIM(J281))&lt;1600,"1500",VALUE(TRIM(J281))&lt;1700,"1600",VALUE(TRIM(J281))&lt;1800,"1700",VALUE(TRIM(J281))&lt;1900,"1800",VALUE(TRIM(J281))&lt;2000,"1900",VALUE(TRIM(J281))&lt;2100,"2000")</f>
        <v>1900</v>
      </c>
      <c r="M281" s="1" t="str">
        <f t="shared" si="14"/>
        <v/>
      </c>
      <c r="N281" s="1" t="str">
        <f t="shared" si="13"/>
        <v>not read</v>
      </c>
      <c r="O281" t="s">
        <v>740</v>
      </c>
    </row>
    <row r="282" spans="1:15">
      <c r="A282" s="2" t="s">
        <v>1245</v>
      </c>
      <c r="B282" t="s">
        <v>1246</v>
      </c>
      <c r="C282" t="s">
        <v>1247</v>
      </c>
      <c r="D282" s="2" t="s">
        <v>18</v>
      </c>
      <c r="E282" s="2" t="str">
        <f t="shared" si="12"/>
        <v>no rating</v>
      </c>
      <c r="F282" s="2" t="s">
        <v>36</v>
      </c>
      <c r="G282" t="s">
        <v>275</v>
      </c>
      <c r="H282" s="2" t="s">
        <v>149</v>
      </c>
      <c r="I282" s="3" t="str" cm="1">
        <f t="array" ref="I282">_xlfn.IFS(VALUE(TRIM(H282))&lt;300,"Short",VALUE(TRIM(H282))&lt;450,"Medium",VALUE(TRIM(H282))&lt;750,"Long",TRUE,"Very Long")</f>
        <v>Medium</v>
      </c>
      <c r="J282" t="s">
        <v>627</v>
      </c>
      <c r="K282" t="str" cm="1">
        <f t="array" ref="K282">_xlfn.IFS(VALUE(TRIM(J282))&lt;0,"BC",VALUE(TRIM(J282))&lt;200,"100",VALUE(TRIM(J282))&lt;800,"700",VALUE(TRIM(J282))&lt;900,"800",VALUE(TRIM(J282))&lt;1000,"900",VALUE(TRIM(J282))&lt;1100,"1000",VALUE(TRIM(J282))&lt;1200,"1100",VALUE(TRIM(J282))&lt;1300,"1200",VALUE(TRIM(J282))&lt;1400,"1300",VALUE(TRIM(J282))&lt;1500,"1400",VALUE(TRIM(J282))&lt;1600,"1500",VALUE(TRIM(J282))&lt;1700,"1600",VALUE(TRIM(J282))&lt;1800,"1700",VALUE(TRIM(J282))&lt;1900,"1800",VALUE(TRIM(J282))&lt;2000,"1900",VALUE(TRIM(J282))&lt;2100,"2000")</f>
        <v>1900</v>
      </c>
      <c r="M282" s="1" t="str">
        <f t="shared" si="14"/>
        <v/>
      </c>
      <c r="N282" s="1" t="str">
        <f t="shared" si="13"/>
        <v>not read</v>
      </c>
      <c r="O282" t="s">
        <v>740</v>
      </c>
    </row>
    <row r="283" spans="1:15">
      <c r="A283" s="2" t="s">
        <v>1248</v>
      </c>
      <c r="B283" t="s">
        <v>1249</v>
      </c>
      <c r="C283" t="s">
        <v>1250</v>
      </c>
      <c r="D283" s="2" t="s">
        <v>18</v>
      </c>
      <c r="E283" s="2" t="str">
        <f t="shared" si="12"/>
        <v>no rating</v>
      </c>
      <c r="F283" s="2" t="s">
        <v>82</v>
      </c>
      <c r="G283" t="s">
        <v>1251</v>
      </c>
      <c r="H283" s="2" t="s">
        <v>1252</v>
      </c>
      <c r="I283" s="3" t="str" cm="1">
        <f t="array" ref="I283">_xlfn.IFS(VALUE(TRIM(H283))&lt;300,"Short",VALUE(TRIM(H283))&lt;450,"Medium",VALUE(TRIM(H283))&lt;750,"Long",TRUE,"Very Long")</f>
        <v>Medium</v>
      </c>
      <c r="J283" t="s">
        <v>65</v>
      </c>
      <c r="K283" t="str" cm="1">
        <f t="array" ref="K283">_xlfn.IFS(VALUE(TRIM(J283))&lt;0,"BC",VALUE(TRIM(J283))&lt;200,"100",VALUE(TRIM(J283))&lt;800,"700",VALUE(TRIM(J283))&lt;900,"800",VALUE(TRIM(J283))&lt;1000,"900",VALUE(TRIM(J283))&lt;1100,"1000",VALUE(TRIM(J283))&lt;1200,"1100",VALUE(TRIM(J283))&lt;1300,"1200",VALUE(TRIM(J283))&lt;1400,"1300",VALUE(TRIM(J283))&lt;1500,"1400",VALUE(TRIM(J283))&lt;1600,"1500",VALUE(TRIM(J283))&lt;1700,"1600",VALUE(TRIM(J283))&lt;1800,"1700",VALUE(TRIM(J283))&lt;1900,"1800",VALUE(TRIM(J283))&lt;2000,"1900",VALUE(TRIM(J283))&lt;2100,"2000")</f>
        <v>1900</v>
      </c>
      <c r="L283" s="1">
        <v>45081</v>
      </c>
      <c r="M283" s="1" t="str">
        <f t="shared" si="14"/>
        <v>06/2023</v>
      </c>
      <c r="N283" s="1">
        <f t="shared" si="13"/>
        <v>45081</v>
      </c>
      <c r="O283" t="s">
        <v>740</v>
      </c>
    </row>
    <row r="284" spans="1:15">
      <c r="A284" s="2" t="s">
        <v>1253</v>
      </c>
      <c r="B284" t="s">
        <v>1254</v>
      </c>
      <c r="C284" t="s">
        <v>188</v>
      </c>
      <c r="D284" s="2" t="s">
        <v>18</v>
      </c>
      <c r="E284" s="2" t="str">
        <f t="shared" si="12"/>
        <v>no rating</v>
      </c>
      <c r="F284" s="2" t="s">
        <v>325</v>
      </c>
      <c r="G284" t="s">
        <v>125</v>
      </c>
      <c r="H284" s="2" t="s">
        <v>485</v>
      </c>
      <c r="I284" s="3" t="str" cm="1">
        <f t="array" ref="I284">_xlfn.IFS(VALUE(TRIM(H284))&lt;300,"Short",VALUE(TRIM(H284))&lt;450,"Medium",VALUE(TRIM(H284))&lt;750,"Long",TRUE,"Very Long")</f>
        <v>Medium</v>
      </c>
      <c r="J284" t="s">
        <v>244</v>
      </c>
      <c r="K284" t="str" cm="1">
        <f t="array" ref="K284">_xlfn.IFS(VALUE(TRIM(J284))&lt;0,"BC",VALUE(TRIM(J284))&lt;200,"100",VALUE(TRIM(J284))&lt;800,"700",VALUE(TRIM(J284))&lt;900,"800",VALUE(TRIM(J284))&lt;1000,"900",VALUE(TRIM(J284))&lt;1100,"1000",VALUE(TRIM(J284))&lt;1200,"1100",VALUE(TRIM(J284))&lt;1300,"1200",VALUE(TRIM(J284))&lt;1400,"1300",VALUE(TRIM(J284))&lt;1500,"1400",VALUE(TRIM(J284))&lt;1600,"1500",VALUE(TRIM(J284))&lt;1700,"1600",VALUE(TRIM(J284))&lt;1800,"1700",VALUE(TRIM(J284))&lt;1900,"1800",VALUE(TRIM(J284))&lt;2000,"1900",VALUE(TRIM(J284))&lt;2100,"2000")</f>
        <v>2000</v>
      </c>
      <c r="M284" s="1" t="str">
        <f t="shared" si="14"/>
        <v/>
      </c>
      <c r="N284" s="1" t="str">
        <f t="shared" si="13"/>
        <v>not read</v>
      </c>
      <c r="O284" t="s">
        <v>47</v>
      </c>
    </row>
    <row r="285" spans="1:15">
      <c r="A285" s="2" t="s">
        <v>1255</v>
      </c>
      <c r="B285" t="s">
        <v>1256</v>
      </c>
      <c r="C285" t="s">
        <v>1257</v>
      </c>
      <c r="D285" s="2" t="s">
        <v>27</v>
      </c>
      <c r="E285" s="2" t="str">
        <f t="shared" si="12"/>
        <v>3</v>
      </c>
      <c r="F285" s="2" t="s">
        <v>19</v>
      </c>
      <c r="G285" t="s">
        <v>287</v>
      </c>
      <c r="H285" s="2" t="s">
        <v>1258</v>
      </c>
      <c r="I285" s="3" t="str" cm="1">
        <f t="array" ref="I285">_xlfn.IFS(VALUE(TRIM(H285))&lt;300,"Short",VALUE(TRIM(H285))&lt;450,"Medium",VALUE(TRIM(H285))&lt;750,"Long",TRUE,"Very Long")</f>
        <v>Medium</v>
      </c>
      <c r="J285" t="s">
        <v>157</v>
      </c>
      <c r="K285" t="str" cm="1">
        <f t="array" ref="K285">_xlfn.IFS(VALUE(TRIM(J285))&lt;0,"BC",VALUE(TRIM(J285))&lt;200,"100",VALUE(TRIM(J285))&lt;800,"700",VALUE(TRIM(J285))&lt;900,"800",VALUE(TRIM(J285))&lt;1000,"900",VALUE(TRIM(J285))&lt;1100,"1000",VALUE(TRIM(J285))&lt;1200,"1100",VALUE(TRIM(J285))&lt;1300,"1200",VALUE(TRIM(J285))&lt;1400,"1300",VALUE(TRIM(J285))&lt;1500,"1400",VALUE(TRIM(J285))&lt;1600,"1500",VALUE(TRIM(J285))&lt;1700,"1600",VALUE(TRIM(J285))&lt;1800,"1700",VALUE(TRIM(J285))&lt;1900,"1800",VALUE(TRIM(J285))&lt;2000,"1900",VALUE(TRIM(J285))&lt;2100,"2000")</f>
        <v>2000</v>
      </c>
      <c r="L285" s="1">
        <v>44962</v>
      </c>
      <c r="M285" s="1" t="str">
        <f t="shared" si="14"/>
        <v>02/2023</v>
      </c>
      <c r="N285" s="1">
        <f t="shared" si="13"/>
        <v>44962</v>
      </c>
      <c r="O285" t="s">
        <v>32</v>
      </c>
    </row>
    <row r="286" spans="1:15">
      <c r="A286" s="2" t="s">
        <v>1259</v>
      </c>
      <c r="B286" t="s">
        <v>1260</v>
      </c>
      <c r="C286" t="s">
        <v>1261</v>
      </c>
      <c r="D286" s="2" t="s">
        <v>27</v>
      </c>
      <c r="E286" s="2" t="str">
        <f t="shared" si="12"/>
        <v>3</v>
      </c>
      <c r="F286" s="2" t="s">
        <v>82</v>
      </c>
      <c r="G286" t="s">
        <v>1262</v>
      </c>
      <c r="H286" s="2" t="s">
        <v>1172</v>
      </c>
      <c r="I286" s="3" t="str" cm="1">
        <f t="array" ref="I286">_xlfn.IFS(VALUE(TRIM(H286))&lt;300,"Short",VALUE(TRIM(H286))&lt;450,"Medium",VALUE(TRIM(H286))&lt;750,"Long",TRUE,"Very Long")</f>
        <v>Short</v>
      </c>
      <c r="J286" t="s">
        <v>725</v>
      </c>
      <c r="K286" t="str" cm="1">
        <f t="array" ref="K286">_xlfn.IFS(VALUE(TRIM(J286))&lt;0,"BC",VALUE(TRIM(J286))&lt;200,"100",VALUE(TRIM(J286))&lt;800,"700",VALUE(TRIM(J286))&lt;900,"800",VALUE(TRIM(J286))&lt;1000,"900",VALUE(TRIM(J286))&lt;1100,"1000",VALUE(TRIM(J286))&lt;1200,"1100",VALUE(TRIM(J286))&lt;1300,"1200",VALUE(TRIM(J286))&lt;1400,"1300",VALUE(TRIM(J286))&lt;1500,"1400",VALUE(TRIM(J286))&lt;1600,"1500",VALUE(TRIM(J286))&lt;1700,"1600",VALUE(TRIM(J286))&lt;1800,"1700",VALUE(TRIM(J286))&lt;1900,"1800",VALUE(TRIM(J286))&lt;2000,"1900",VALUE(TRIM(J286))&lt;2100,"2000")</f>
        <v>1900</v>
      </c>
      <c r="L286" s="1">
        <v>44825</v>
      </c>
      <c r="M286" s="1" t="str">
        <f t="shared" si="14"/>
        <v>09/2022</v>
      </c>
      <c r="N286" s="1">
        <f t="shared" si="13"/>
        <v>44825</v>
      </c>
      <c r="O286" t="s">
        <v>32</v>
      </c>
    </row>
    <row r="287" spans="1:15">
      <c r="A287" s="2" t="s">
        <v>1263</v>
      </c>
      <c r="B287" t="s">
        <v>1264</v>
      </c>
      <c r="C287" t="s">
        <v>1265</v>
      </c>
      <c r="D287" s="2" t="s">
        <v>27</v>
      </c>
      <c r="E287" s="2" t="str">
        <f t="shared" si="12"/>
        <v>3</v>
      </c>
      <c r="F287" s="2" t="s">
        <v>82</v>
      </c>
      <c r="G287" t="s">
        <v>1266</v>
      </c>
      <c r="H287" s="2" t="s">
        <v>167</v>
      </c>
      <c r="I287" s="3" t="str" cm="1">
        <f t="array" ref="I287">_xlfn.IFS(VALUE(TRIM(H287))&lt;300,"Short",VALUE(TRIM(H287))&lt;450,"Medium",VALUE(TRIM(H287))&lt;750,"Long",TRUE,"Very Long")</f>
        <v>Short</v>
      </c>
      <c r="J287" t="s">
        <v>104</v>
      </c>
      <c r="K287" t="str" cm="1">
        <f t="array" ref="K287">_xlfn.IFS(VALUE(TRIM(J287))&lt;0,"BC",VALUE(TRIM(J287))&lt;200,"100",VALUE(TRIM(J287))&lt;800,"700",VALUE(TRIM(J287))&lt;900,"800",VALUE(TRIM(J287))&lt;1000,"900",VALUE(TRIM(J287))&lt;1100,"1000",VALUE(TRIM(J287))&lt;1200,"1100",VALUE(TRIM(J287))&lt;1300,"1200",VALUE(TRIM(J287))&lt;1400,"1300",VALUE(TRIM(J287))&lt;1500,"1400",VALUE(TRIM(J287))&lt;1600,"1500",VALUE(TRIM(J287))&lt;1700,"1600",VALUE(TRIM(J287))&lt;1800,"1700",VALUE(TRIM(J287))&lt;1900,"1800",VALUE(TRIM(J287))&lt;2000,"1900",VALUE(TRIM(J287))&lt;2100,"2000")</f>
        <v>2000</v>
      </c>
      <c r="L287" s="1">
        <v>44824</v>
      </c>
      <c r="M287" s="1" t="str">
        <f t="shared" si="14"/>
        <v>09/2022</v>
      </c>
      <c r="N287" s="1">
        <f t="shared" si="13"/>
        <v>44824</v>
      </c>
      <c r="O287" t="s">
        <v>32</v>
      </c>
    </row>
    <row r="288" spans="1:15">
      <c r="A288" s="2" t="s">
        <v>1267</v>
      </c>
      <c r="B288" t="s">
        <v>1268</v>
      </c>
      <c r="C288" t="s">
        <v>860</v>
      </c>
      <c r="D288" s="2" t="s">
        <v>18</v>
      </c>
      <c r="E288" s="2" t="str">
        <f t="shared" si="12"/>
        <v>no rating</v>
      </c>
      <c r="F288" s="2" t="s">
        <v>82</v>
      </c>
      <c r="G288" t="s">
        <v>1269</v>
      </c>
      <c r="H288" s="2" t="s">
        <v>1270</v>
      </c>
      <c r="I288" s="3" t="str" cm="1">
        <f t="array" ref="I288">_xlfn.IFS(VALUE(TRIM(H288))&lt;300,"Short",VALUE(TRIM(H288))&lt;450,"Medium",VALUE(TRIM(H288))&lt;750,"Long",TRUE,"Very Long")</f>
        <v>Short</v>
      </c>
      <c r="J288" t="s">
        <v>150</v>
      </c>
      <c r="K288" t="str" cm="1">
        <f t="array" ref="K288">_xlfn.IFS(VALUE(TRIM(J288))&lt;0,"BC",VALUE(TRIM(J288))&lt;200,"100",VALUE(TRIM(J288))&lt;800,"700",VALUE(TRIM(J288))&lt;900,"800",VALUE(TRIM(J288))&lt;1000,"900",VALUE(TRIM(J288))&lt;1100,"1000",VALUE(TRIM(J288))&lt;1200,"1100",VALUE(TRIM(J288))&lt;1300,"1200",VALUE(TRIM(J288))&lt;1400,"1300",VALUE(TRIM(J288))&lt;1500,"1400",VALUE(TRIM(J288))&lt;1600,"1500",VALUE(TRIM(J288))&lt;1700,"1600",VALUE(TRIM(J288))&lt;1800,"1700",VALUE(TRIM(J288))&lt;1900,"1800",VALUE(TRIM(J288))&lt;2000,"1900",VALUE(TRIM(J288))&lt;2100,"2000")</f>
        <v>2000</v>
      </c>
      <c r="M288" s="1" t="str">
        <f t="shared" si="14"/>
        <v/>
      </c>
      <c r="N288" s="1" t="str">
        <f t="shared" si="13"/>
        <v>not read</v>
      </c>
      <c r="O288" t="s">
        <v>47</v>
      </c>
    </row>
    <row r="289" spans="1:15">
      <c r="A289" s="2" t="s">
        <v>1271</v>
      </c>
      <c r="B289" t="s">
        <v>1272</v>
      </c>
      <c r="C289" t="s">
        <v>1273</v>
      </c>
      <c r="D289" s="2" t="s">
        <v>27</v>
      </c>
      <c r="E289" s="2" t="str">
        <f t="shared" si="12"/>
        <v>3</v>
      </c>
      <c r="F289" s="2" t="s">
        <v>36</v>
      </c>
      <c r="G289" t="s">
        <v>1262</v>
      </c>
      <c r="H289" s="2" t="s">
        <v>1274</v>
      </c>
      <c r="I289" s="3" t="str" cm="1">
        <f t="array" ref="I289">_xlfn.IFS(VALUE(TRIM(H289))&lt;300,"Short",VALUE(TRIM(H289))&lt;450,"Medium",VALUE(TRIM(H289))&lt;750,"Long",TRUE,"Very Long")</f>
        <v>Short</v>
      </c>
      <c r="J289" t="s">
        <v>709</v>
      </c>
      <c r="K289" t="str" cm="1">
        <f t="array" ref="K289">_xlfn.IFS(VALUE(TRIM(J289))&lt;0,"BC",VALUE(TRIM(J289))&lt;200,"100",VALUE(TRIM(J289))&lt;800,"700",VALUE(TRIM(J289))&lt;900,"800",VALUE(TRIM(J289))&lt;1000,"900",VALUE(TRIM(J289))&lt;1100,"1000",VALUE(TRIM(J289))&lt;1200,"1100",VALUE(TRIM(J289))&lt;1300,"1200",VALUE(TRIM(J289))&lt;1400,"1300",VALUE(TRIM(J289))&lt;1500,"1400",VALUE(TRIM(J289))&lt;1600,"1500",VALUE(TRIM(J289))&lt;1700,"1600",VALUE(TRIM(J289))&lt;1800,"1700",VALUE(TRIM(J289))&lt;1900,"1800",VALUE(TRIM(J289))&lt;2000,"1900",VALUE(TRIM(J289))&lt;2100,"2000")</f>
        <v>1900</v>
      </c>
      <c r="M289" s="1" t="str">
        <f t="shared" si="14"/>
        <v/>
      </c>
      <c r="N289" s="1" t="str">
        <f t="shared" si="13"/>
        <v>not read</v>
      </c>
      <c r="O289" t="s">
        <v>32</v>
      </c>
    </row>
    <row r="290" spans="1:15">
      <c r="A290" s="2" t="s">
        <v>1275</v>
      </c>
      <c r="B290" t="s">
        <v>1276</v>
      </c>
      <c r="C290" t="s">
        <v>1277</v>
      </c>
      <c r="D290" s="2" t="s">
        <v>18</v>
      </c>
      <c r="E290" s="2" t="str">
        <f t="shared" si="12"/>
        <v>no rating</v>
      </c>
      <c r="F290" s="2" t="s">
        <v>19</v>
      </c>
      <c r="G290" t="s">
        <v>120</v>
      </c>
      <c r="H290" s="2" t="s">
        <v>1278</v>
      </c>
      <c r="I290" s="3" t="str" cm="1">
        <f t="array" ref="I290">_xlfn.IFS(VALUE(TRIM(H290))&lt;300,"Short",VALUE(TRIM(H290))&lt;450,"Medium",VALUE(TRIM(H290))&lt;750,"Long",TRUE,"Very Long")</f>
        <v>Medium</v>
      </c>
      <c r="J290" t="s">
        <v>244</v>
      </c>
      <c r="K290" t="str" cm="1">
        <f t="array" ref="K290">_xlfn.IFS(VALUE(TRIM(J290))&lt;0,"BC",VALUE(TRIM(J290))&lt;200,"100",VALUE(TRIM(J290))&lt;800,"700",VALUE(TRIM(J290))&lt;900,"800",VALUE(TRIM(J290))&lt;1000,"900",VALUE(TRIM(J290))&lt;1100,"1000",VALUE(TRIM(J290))&lt;1200,"1100",VALUE(TRIM(J290))&lt;1300,"1200",VALUE(TRIM(J290))&lt;1400,"1300",VALUE(TRIM(J290))&lt;1500,"1400",VALUE(TRIM(J290))&lt;1600,"1500",VALUE(TRIM(J290))&lt;1700,"1600",VALUE(TRIM(J290))&lt;1800,"1700",VALUE(TRIM(J290))&lt;1900,"1800",VALUE(TRIM(J290))&lt;2000,"1900",VALUE(TRIM(J290))&lt;2100,"2000")</f>
        <v>2000</v>
      </c>
      <c r="M290" s="1" t="str">
        <f t="shared" si="14"/>
        <v/>
      </c>
      <c r="N290" s="1" t="str">
        <f t="shared" si="13"/>
        <v>not read</v>
      </c>
      <c r="O290" t="s">
        <v>47</v>
      </c>
    </row>
    <row r="291" spans="1:15">
      <c r="A291" s="2" t="s">
        <v>1279</v>
      </c>
      <c r="B291" t="s">
        <v>1280</v>
      </c>
      <c r="C291" t="s">
        <v>1281</v>
      </c>
      <c r="D291" s="2" t="s">
        <v>36</v>
      </c>
      <c r="E291" s="2" t="str">
        <f t="shared" si="12"/>
        <v>4</v>
      </c>
      <c r="F291" s="2" t="s">
        <v>36</v>
      </c>
      <c r="G291" t="s">
        <v>218</v>
      </c>
      <c r="H291" s="2" t="s">
        <v>1282</v>
      </c>
      <c r="I291" s="3" t="str" cm="1">
        <f t="array" ref="I291">_xlfn.IFS(VALUE(TRIM(H291))&lt;300,"Short",VALUE(TRIM(H291))&lt;450,"Medium",VALUE(TRIM(H291))&lt;750,"Long",TRUE,"Very Long")</f>
        <v>Short</v>
      </c>
      <c r="J291" t="s">
        <v>200</v>
      </c>
      <c r="K291" t="str" cm="1">
        <f t="array" ref="K291">_xlfn.IFS(VALUE(TRIM(J291))&lt;0,"BC",VALUE(TRIM(J291))&lt;200,"100",VALUE(TRIM(J291))&lt;800,"700",VALUE(TRIM(J291))&lt;900,"800",VALUE(TRIM(J291))&lt;1000,"900",VALUE(TRIM(J291))&lt;1100,"1000",VALUE(TRIM(J291))&lt;1200,"1100",VALUE(TRIM(J291))&lt;1300,"1200",VALUE(TRIM(J291))&lt;1400,"1300",VALUE(TRIM(J291))&lt;1500,"1400",VALUE(TRIM(J291))&lt;1600,"1500",VALUE(TRIM(J291))&lt;1700,"1600",VALUE(TRIM(J291))&lt;1800,"1700",VALUE(TRIM(J291))&lt;1900,"1800",VALUE(TRIM(J291))&lt;2000,"1900",VALUE(TRIM(J291))&lt;2100,"2000")</f>
        <v>2000</v>
      </c>
      <c r="M291" s="1" t="str">
        <f t="shared" si="14"/>
        <v/>
      </c>
      <c r="N291" s="1" t="str">
        <f t="shared" si="13"/>
        <v>not read</v>
      </c>
      <c r="O291" t="s">
        <v>32</v>
      </c>
    </row>
    <row r="292" spans="1:15">
      <c r="A292" s="2" t="s">
        <v>1283</v>
      </c>
      <c r="B292" t="s">
        <v>1284</v>
      </c>
      <c r="C292" t="s">
        <v>1285</v>
      </c>
      <c r="D292" s="2" t="s">
        <v>27</v>
      </c>
      <c r="E292" s="2" t="str">
        <f t="shared" si="12"/>
        <v>3</v>
      </c>
      <c r="F292" s="2" t="s">
        <v>36</v>
      </c>
      <c r="G292" t="s">
        <v>509</v>
      </c>
      <c r="H292" s="2" t="s">
        <v>71</v>
      </c>
      <c r="I292" s="3" t="str" cm="1">
        <f t="array" ref="I292">_xlfn.IFS(VALUE(TRIM(H292))&lt;300,"Short",VALUE(TRIM(H292))&lt;450,"Medium",VALUE(TRIM(H292))&lt;750,"Long",TRUE,"Very Long")</f>
        <v>Short</v>
      </c>
      <c r="J292" t="s">
        <v>157</v>
      </c>
      <c r="K292" t="str" cm="1">
        <f t="array" ref="K292">_xlfn.IFS(VALUE(TRIM(J292))&lt;0,"BC",VALUE(TRIM(J292))&lt;200,"100",VALUE(TRIM(J292))&lt;800,"700",VALUE(TRIM(J292))&lt;900,"800",VALUE(TRIM(J292))&lt;1000,"900",VALUE(TRIM(J292))&lt;1100,"1000",VALUE(TRIM(J292))&lt;1200,"1100",VALUE(TRIM(J292))&lt;1300,"1200",VALUE(TRIM(J292))&lt;1400,"1300",VALUE(TRIM(J292))&lt;1500,"1400",VALUE(TRIM(J292))&lt;1600,"1500",VALUE(TRIM(J292))&lt;1700,"1600",VALUE(TRIM(J292))&lt;1800,"1700",VALUE(TRIM(J292))&lt;1900,"1800",VALUE(TRIM(J292))&lt;2000,"1900",VALUE(TRIM(J292))&lt;2100,"2000")</f>
        <v>2000</v>
      </c>
      <c r="M292" s="1" t="str">
        <f t="shared" si="14"/>
        <v/>
      </c>
      <c r="N292" s="1" t="str">
        <f t="shared" si="13"/>
        <v>not read</v>
      </c>
      <c r="O292" t="s">
        <v>32</v>
      </c>
    </row>
    <row r="293" spans="1:15">
      <c r="A293" s="2" t="s">
        <v>1286</v>
      </c>
      <c r="B293" t="s">
        <v>1287</v>
      </c>
      <c r="C293" t="s">
        <v>1288</v>
      </c>
      <c r="D293" s="2" t="s">
        <v>36</v>
      </c>
      <c r="E293" s="2" t="str">
        <f t="shared" si="12"/>
        <v>4</v>
      </c>
      <c r="F293" s="2" t="s">
        <v>82</v>
      </c>
      <c r="G293" t="s">
        <v>1266</v>
      </c>
      <c r="H293" s="2" t="s">
        <v>545</v>
      </c>
      <c r="I293" s="3" t="str" cm="1">
        <f t="array" ref="I293">_xlfn.IFS(VALUE(TRIM(H293))&lt;300,"Short",VALUE(TRIM(H293))&lt;450,"Medium",VALUE(TRIM(H293))&lt;750,"Long",TRUE,"Very Long")</f>
        <v>Medium</v>
      </c>
      <c r="J293" t="s">
        <v>31</v>
      </c>
      <c r="K293" t="str" cm="1">
        <f t="array" ref="K293">_xlfn.IFS(VALUE(TRIM(J293))&lt;0,"BC",VALUE(TRIM(J293))&lt;200,"100",VALUE(TRIM(J293))&lt;800,"700",VALUE(TRIM(J293))&lt;900,"800",VALUE(TRIM(J293))&lt;1000,"900",VALUE(TRIM(J293))&lt;1100,"1000",VALUE(TRIM(J293))&lt;1200,"1100",VALUE(TRIM(J293))&lt;1300,"1200",VALUE(TRIM(J293))&lt;1400,"1300",VALUE(TRIM(J293))&lt;1500,"1400",VALUE(TRIM(J293))&lt;1600,"1500",VALUE(TRIM(J293))&lt;1700,"1600",VALUE(TRIM(J293))&lt;1800,"1700",VALUE(TRIM(J293))&lt;1900,"1800",VALUE(TRIM(J293))&lt;2000,"1900",VALUE(TRIM(J293))&lt;2100,"2000")</f>
        <v>2000</v>
      </c>
      <c r="L293" s="1">
        <v>44590</v>
      </c>
      <c r="M293" s="1" t="str">
        <f t="shared" si="14"/>
        <v>01/2022</v>
      </c>
      <c r="N293" s="1">
        <f t="shared" si="13"/>
        <v>44590</v>
      </c>
      <c r="O293" t="s">
        <v>32</v>
      </c>
    </row>
    <row r="294" spans="1:15">
      <c r="A294" s="2" t="s">
        <v>1289</v>
      </c>
      <c r="B294" t="s">
        <v>1290</v>
      </c>
      <c r="C294" t="s">
        <v>1291</v>
      </c>
      <c r="D294" s="2" t="s">
        <v>18</v>
      </c>
      <c r="E294" s="2" t="str">
        <f t="shared" si="12"/>
        <v>no rating</v>
      </c>
      <c r="F294" s="2" t="s">
        <v>28</v>
      </c>
      <c r="G294" t="s">
        <v>343</v>
      </c>
      <c r="H294" s="2" t="s">
        <v>1292</v>
      </c>
      <c r="I294" s="3" t="str" cm="1">
        <f t="array" ref="I294">_xlfn.IFS(VALUE(TRIM(H294))&lt;300,"Short",VALUE(TRIM(H294))&lt;450,"Medium",VALUE(TRIM(H294))&lt;750,"Long",TRUE,"Very Long")</f>
        <v>Short</v>
      </c>
      <c r="J294" t="s">
        <v>627</v>
      </c>
      <c r="K294" t="str" cm="1">
        <f t="array" ref="K294">_xlfn.IFS(VALUE(TRIM(J294))&lt;0,"BC",VALUE(TRIM(J294))&lt;200,"100",VALUE(TRIM(J294))&lt;800,"700",VALUE(TRIM(J294))&lt;900,"800",VALUE(TRIM(J294))&lt;1000,"900",VALUE(TRIM(J294))&lt;1100,"1000",VALUE(TRIM(J294))&lt;1200,"1100",VALUE(TRIM(J294))&lt;1300,"1200",VALUE(TRIM(J294))&lt;1400,"1300",VALUE(TRIM(J294))&lt;1500,"1400",VALUE(TRIM(J294))&lt;1600,"1500",VALUE(TRIM(J294))&lt;1700,"1600",VALUE(TRIM(J294))&lt;1800,"1700",VALUE(TRIM(J294))&lt;1900,"1800",VALUE(TRIM(J294))&lt;2000,"1900",VALUE(TRIM(J294))&lt;2100,"2000")</f>
        <v>1900</v>
      </c>
      <c r="M294" s="1" t="str">
        <f t="shared" si="14"/>
        <v/>
      </c>
      <c r="N294" s="1" t="str">
        <f t="shared" si="13"/>
        <v>not read</v>
      </c>
      <c r="O294" t="s">
        <v>47</v>
      </c>
    </row>
    <row r="295" spans="1:15">
      <c r="A295" s="2" t="s">
        <v>1293</v>
      </c>
      <c r="B295" t="s">
        <v>1294</v>
      </c>
      <c r="C295" t="s">
        <v>1295</v>
      </c>
      <c r="D295" s="2" t="s">
        <v>27</v>
      </c>
      <c r="E295" s="2" t="str">
        <f t="shared" si="12"/>
        <v>3</v>
      </c>
      <c r="F295" s="2" t="s">
        <v>19</v>
      </c>
      <c r="G295" t="s">
        <v>509</v>
      </c>
      <c r="H295" s="2" t="s">
        <v>1296</v>
      </c>
      <c r="I295" s="3" t="str" cm="1">
        <f t="array" ref="I295">_xlfn.IFS(VALUE(TRIM(H295))&lt;300,"Short",VALUE(TRIM(H295))&lt;450,"Medium",VALUE(TRIM(H295))&lt;750,"Long",TRUE,"Very Long")</f>
        <v>Long</v>
      </c>
      <c r="J295" t="s">
        <v>39</v>
      </c>
      <c r="K295" t="str" cm="1">
        <f t="array" ref="K295">_xlfn.IFS(VALUE(TRIM(J295))&lt;0,"BC",VALUE(TRIM(J295))&lt;200,"100",VALUE(TRIM(J295))&lt;800,"700",VALUE(TRIM(J295))&lt;900,"800",VALUE(TRIM(J295))&lt;1000,"900",VALUE(TRIM(J295))&lt;1100,"1000",VALUE(TRIM(J295))&lt;1200,"1100",VALUE(TRIM(J295))&lt;1300,"1200",VALUE(TRIM(J295))&lt;1400,"1300",VALUE(TRIM(J295))&lt;1500,"1400",VALUE(TRIM(J295))&lt;1600,"1500",VALUE(TRIM(J295))&lt;1700,"1600",VALUE(TRIM(J295))&lt;1800,"1700",VALUE(TRIM(J295))&lt;1900,"1800",VALUE(TRIM(J295))&lt;2000,"1900",VALUE(TRIM(J295))&lt;2100,"2000")</f>
        <v>2000</v>
      </c>
      <c r="L295" s="1">
        <v>44281</v>
      </c>
      <c r="M295" s="1" t="str">
        <f t="shared" si="14"/>
        <v>03/2021</v>
      </c>
      <c r="N295" s="1">
        <f t="shared" si="13"/>
        <v>44281</v>
      </c>
      <c r="O295" t="s">
        <v>32</v>
      </c>
    </row>
    <row r="296" spans="1:15">
      <c r="A296" s="2" t="s">
        <v>1297</v>
      </c>
      <c r="B296" t="s">
        <v>1298</v>
      </c>
      <c r="C296" t="s">
        <v>1299</v>
      </c>
      <c r="D296" s="2" t="s">
        <v>18</v>
      </c>
      <c r="E296" s="2" t="str">
        <f t="shared" si="12"/>
        <v>no rating</v>
      </c>
      <c r="F296" s="2" t="s">
        <v>43</v>
      </c>
      <c r="G296" t="s">
        <v>388</v>
      </c>
      <c r="H296" s="2" t="s">
        <v>1090</v>
      </c>
      <c r="I296" s="3" t="str" cm="1">
        <f t="array" ref="I296">_xlfn.IFS(VALUE(TRIM(H296))&lt;300,"Short",VALUE(TRIM(H296))&lt;450,"Medium",VALUE(TRIM(H296))&lt;750,"Long",TRUE,"Very Long")</f>
        <v>Short</v>
      </c>
      <c r="J296" t="s">
        <v>150</v>
      </c>
      <c r="K296" t="str" cm="1">
        <f t="array" ref="K296">_xlfn.IFS(VALUE(TRIM(J296))&lt;0,"BC",VALUE(TRIM(J296))&lt;200,"100",VALUE(TRIM(J296))&lt;800,"700",VALUE(TRIM(J296))&lt;900,"800",VALUE(TRIM(J296))&lt;1000,"900",VALUE(TRIM(J296))&lt;1100,"1000",VALUE(TRIM(J296))&lt;1200,"1100",VALUE(TRIM(J296))&lt;1300,"1200",VALUE(TRIM(J296))&lt;1400,"1300",VALUE(TRIM(J296))&lt;1500,"1400",VALUE(TRIM(J296))&lt;1600,"1500",VALUE(TRIM(J296))&lt;1700,"1600",VALUE(TRIM(J296))&lt;1800,"1700",VALUE(TRIM(J296))&lt;1900,"1800",VALUE(TRIM(J296))&lt;2000,"1900",VALUE(TRIM(J296))&lt;2100,"2000")</f>
        <v>2000</v>
      </c>
      <c r="M296" s="1" t="str">
        <f t="shared" si="14"/>
        <v/>
      </c>
      <c r="N296" s="1" t="str">
        <f t="shared" si="13"/>
        <v>not read</v>
      </c>
      <c r="O296" t="s">
        <v>47</v>
      </c>
    </row>
    <row r="297" spans="1:15">
      <c r="A297" s="2" t="s">
        <v>1300</v>
      </c>
      <c r="B297" t="s">
        <v>1301</v>
      </c>
      <c r="C297" t="s">
        <v>1026</v>
      </c>
      <c r="D297" s="2" t="s">
        <v>36</v>
      </c>
      <c r="E297" s="2" t="str">
        <f t="shared" si="12"/>
        <v>4</v>
      </c>
      <c r="F297" s="2" t="s">
        <v>178</v>
      </c>
      <c r="G297" t="s">
        <v>612</v>
      </c>
      <c r="H297" s="2" t="s">
        <v>1302</v>
      </c>
      <c r="I297" s="3" t="str" cm="1">
        <f t="array" ref="I297">_xlfn.IFS(VALUE(TRIM(H297))&lt;300,"Short",VALUE(TRIM(H297))&lt;450,"Medium",VALUE(TRIM(H297))&lt;750,"Long",TRUE,"Very Long")</f>
        <v>Short</v>
      </c>
      <c r="J297" t="s">
        <v>971</v>
      </c>
      <c r="K297" t="str" cm="1">
        <f t="array" ref="K297">_xlfn.IFS(VALUE(TRIM(J297))&lt;0,"BC",VALUE(TRIM(J297))&lt;200,"100",VALUE(TRIM(J297))&lt;800,"700",VALUE(TRIM(J297))&lt;900,"800",VALUE(TRIM(J297))&lt;1000,"900",VALUE(TRIM(J297))&lt;1100,"1000",VALUE(TRIM(J297))&lt;1200,"1100",VALUE(TRIM(J297))&lt;1300,"1200",VALUE(TRIM(J297))&lt;1400,"1300",VALUE(TRIM(J297))&lt;1500,"1400",VALUE(TRIM(J297))&lt;1600,"1500",VALUE(TRIM(J297))&lt;1700,"1600",VALUE(TRIM(J297))&lt;1800,"1700",VALUE(TRIM(J297))&lt;1900,"1800",VALUE(TRIM(J297))&lt;2000,"1900",VALUE(TRIM(J297))&lt;2100,"2000")</f>
        <v>1800</v>
      </c>
      <c r="M297" s="1" t="str">
        <f t="shared" si="14"/>
        <v/>
      </c>
      <c r="N297" s="1" t="str">
        <f t="shared" si="13"/>
        <v>not read</v>
      </c>
      <c r="O297" t="s">
        <v>32</v>
      </c>
    </row>
    <row r="298" spans="1:15">
      <c r="A298" s="2" t="s">
        <v>1303</v>
      </c>
      <c r="B298" t="s">
        <v>1304</v>
      </c>
      <c r="C298" t="s">
        <v>1305</v>
      </c>
      <c r="D298" s="2" t="s">
        <v>36</v>
      </c>
      <c r="E298" s="2" t="str">
        <f t="shared" si="12"/>
        <v>4</v>
      </c>
      <c r="F298" s="2" t="s">
        <v>19</v>
      </c>
      <c r="G298" t="s">
        <v>556</v>
      </c>
      <c r="H298" s="2" t="s">
        <v>1306</v>
      </c>
      <c r="I298" s="3" t="str" cm="1">
        <f t="array" ref="I298">_xlfn.IFS(VALUE(TRIM(H298))&lt;300,"Short",VALUE(TRIM(H298))&lt;450,"Medium",VALUE(TRIM(H298))&lt;750,"Long",TRUE,"Very Long")</f>
        <v>Short</v>
      </c>
      <c r="J298" t="s">
        <v>922</v>
      </c>
      <c r="K298" t="str" cm="1">
        <f t="array" ref="K298">_xlfn.IFS(VALUE(TRIM(J298))&lt;0,"BC",VALUE(TRIM(J298))&lt;200,"100",VALUE(TRIM(J298))&lt;800,"700",VALUE(TRIM(J298))&lt;900,"800",VALUE(TRIM(J298))&lt;1000,"900",VALUE(TRIM(J298))&lt;1100,"1000",VALUE(TRIM(J298))&lt;1200,"1100",VALUE(TRIM(J298))&lt;1300,"1200",VALUE(TRIM(J298))&lt;1400,"1300",VALUE(TRIM(J298))&lt;1500,"1400",VALUE(TRIM(J298))&lt;1600,"1500",VALUE(TRIM(J298))&lt;1700,"1600",VALUE(TRIM(J298))&lt;1800,"1700",VALUE(TRIM(J298))&lt;1900,"1800",VALUE(TRIM(J298))&lt;2000,"1900",VALUE(TRIM(J298))&lt;2100,"2000")</f>
        <v>1900</v>
      </c>
      <c r="L298" s="1">
        <v>44261</v>
      </c>
      <c r="M298" s="1" t="str">
        <f t="shared" si="14"/>
        <v>03/2021</v>
      </c>
      <c r="N298" s="1">
        <f t="shared" si="13"/>
        <v>44261</v>
      </c>
      <c r="O298" t="s">
        <v>32</v>
      </c>
    </row>
    <row r="299" spans="1:15">
      <c r="A299" s="2" t="s">
        <v>1307</v>
      </c>
      <c r="B299" t="s">
        <v>1308</v>
      </c>
      <c r="C299" t="s">
        <v>1309</v>
      </c>
      <c r="D299" s="2" t="s">
        <v>36</v>
      </c>
      <c r="E299" s="2" t="str">
        <f t="shared" si="12"/>
        <v>4</v>
      </c>
      <c r="F299" s="2" t="s">
        <v>28</v>
      </c>
      <c r="G299" t="s">
        <v>556</v>
      </c>
      <c r="H299" s="2" t="s">
        <v>540</v>
      </c>
      <c r="I299" s="3" t="str" cm="1">
        <f t="array" ref="I299">_xlfn.IFS(VALUE(TRIM(H299))&lt;300,"Short",VALUE(TRIM(H299))&lt;450,"Medium",VALUE(TRIM(H299))&lt;750,"Long",TRUE,"Very Long")</f>
        <v>Short</v>
      </c>
      <c r="J299" t="s">
        <v>39</v>
      </c>
      <c r="K299" t="str" cm="1">
        <f t="array" ref="K299">_xlfn.IFS(VALUE(TRIM(J299))&lt;0,"BC",VALUE(TRIM(J299))&lt;200,"100",VALUE(TRIM(J299))&lt;800,"700",VALUE(TRIM(J299))&lt;900,"800",VALUE(TRIM(J299))&lt;1000,"900",VALUE(TRIM(J299))&lt;1100,"1000",VALUE(TRIM(J299))&lt;1200,"1100",VALUE(TRIM(J299))&lt;1300,"1200",VALUE(TRIM(J299))&lt;1400,"1300",VALUE(TRIM(J299))&lt;1500,"1400",VALUE(TRIM(J299))&lt;1600,"1500",VALUE(TRIM(J299))&lt;1700,"1600",VALUE(TRIM(J299))&lt;1800,"1700",VALUE(TRIM(J299))&lt;1900,"1800",VALUE(TRIM(J299))&lt;2000,"1900",VALUE(TRIM(J299))&lt;2100,"2000")</f>
        <v>2000</v>
      </c>
      <c r="M299" s="1" t="str">
        <f t="shared" si="14"/>
        <v/>
      </c>
      <c r="N299" s="1" t="str">
        <f t="shared" si="13"/>
        <v>not read</v>
      </c>
      <c r="O299" t="s">
        <v>32</v>
      </c>
    </row>
    <row r="300" spans="1:15">
      <c r="A300" s="2" t="s">
        <v>1310</v>
      </c>
      <c r="B300" t="s">
        <v>1311</v>
      </c>
      <c r="C300" t="s">
        <v>1312</v>
      </c>
      <c r="D300" s="2" t="s">
        <v>27</v>
      </c>
      <c r="E300" s="2" t="str">
        <f t="shared" si="12"/>
        <v>3</v>
      </c>
      <c r="F300" s="2" t="s">
        <v>28</v>
      </c>
      <c r="G300" t="s">
        <v>509</v>
      </c>
      <c r="H300" s="2" t="s">
        <v>1313</v>
      </c>
      <c r="I300" s="3" t="str" cm="1">
        <f t="array" ref="I300">_xlfn.IFS(VALUE(TRIM(H300))&lt;300,"Short",VALUE(TRIM(H300))&lt;450,"Medium",VALUE(TRIM(H300))&lt;750,"Long",TRUE,"Very Long")</f>
        <v>Short</v>
      </c>
      <c r="J300" t="s">
        <v>1314</v>
      </c>
      <c r="K300" t="str" cm="1">
        <f t="array" ref="K300">_xlfn.IFS(VALUE(TRIM(J300))&lt;0,"BC",VALUE(TRIM(J300))&lt;200,"100",VALUE(TRIM(J300))&lt;800,"700",VALUE(TRIM(J300))&lt;900,"800",VALUE(TRIM(J300))&lt;1000,"900",VALUE(TRIM(J300))&lt;1100,"1000",VALUE(TRIM(J300))&lt;1200,"1100",VALUE(TRIM(J300))&lt;1300,"1200",VALUE(TRIM(J300))&lt;1400,"1300",VALUE(TRIM(J300))&lt;1500,"1400",VALUE(TRIM(J300))&lt;1600,"1500",VALUE(TRIM(J300))&lt;1700,"1600",VALUE(TRIM(J300))&lt;1800,"1700",VALUE(TRIM(J300))&lt;1900,"1800",VALUE(TRIM(J300))&lt;2000,"1900",VALUE(TRIM(J300))&lt;2100,"2000")</f>
        <v>1500</v>
      </c>
      <c r="M300" s="1" t="str">
        <f t="shared" si="14"/>
        <v/>
      </c>
      <c r="N300" s="1" t="str">
        <f t="shared" si="13"/>
        <v>not read</v>
      </c>
      <c r="O300" t="s">
        <v>32</v>
      </c>
    </row>
    <row r="301" spans="1:15">
      <c r="A301" s="2" t="s">
        <v>1315</v>
      </c>
      <c r="B301" t="s">
        <v>1316</v>
      </c>
      <c r="C301" t="s">
        <v>1317</v>
      </c>
      <c r="D301" s="2" t="s">
        <v>36</v>
      </c>
      <c r="E301" s="2" t="str">
        <f t="shared" si="12"/>
        <v>4</v>
      </c>
      <c r="F301" s="2" t="s">
        <v>82</v>
      </c>
      <c r="G301" t="s">
        <v>1318</v>
      </c>
      <c r="H301" s="2" t="s">
        <v>989</v>
      </c>
      <c r="I301" s="3" t="str" cm="1">
        <f t="array" ref="I301">_xlfn.IFS(VALUE(TRIM(H301))&lt;300,"Short",VALUE(TRIM(H301))&lt;450,"Medium",VALUE(TRIM(H301))&lt;750,"Long",TRUE,"Very Long")</f>
        <v>Medium</v>
      </c>
      <c r="J301" t="s">
        <v>85</v>
      </c>
      <c r="K301" t="str" cm="1">
        <f t="array" ref="K301">_xlfn.IFS(VALUE(TRIM(J301))&lt;0,"BC",VALUE(TRIM(J301))&lt;200,"100",VALUE(TRIM(J301))&lt;800,"700",VALUE(TRIM(J301))&lt;900,"800",VALUE(TRIM(J301))&lt;1000,"900",VALUE(TRIM(J301))&lt;1100,"1000",VALUE(TRIM(J301))&lt;1200,"1100",VALUE(TRIM(J301))&lt;1300,"1200",VALUE(TRIM(J301))&lt;1400,"1300",VALUE(TRIM(J301))&lt;1500,"1400",VALUE(TRIM(J301))&lt;1600,"1500",VALUE(TRIM(J301))&lt;1700,"1600",VALUE(TRIM(J301))&lt;1800,"1700",VALUE(TRIM(J301))&lt;1900,"1800",VALUE(TRIM(J301))&lt;2000,"1900",VALUE(TRIM(J301))&lt;2100,"2000")</f>
        <v>2000</v>
      </c>
      <c r="L301" s="1">
        <v>44517</v>
      </c>
      <c r="M301" s="1" t="str">
        <f t="shared" si="14"/>
        <v>11/2021</v>
      </c>
      <c r="N301" s="1">
        <f t="shared" si="13"/>
        <v>44517</v>
      </c>
      <c r="O301" t="s">
        <v>32</v>
      </c>
    </row>
    <row r="302" spans="1:15">
      <c r="A302" s="2" t="s">
        <v>1319</v>
      </c>
      <c r="B302" t="s">
        <v>1320</v>
      </c>
      <c r="C302" t="s">
        <v>1321</v>
      </c>
      <c r="D302" s="2" t="s">
        <v>18</v>
      </c>
      <c r="E302" s="2" t="str">
        <f t="shared" si="12"/>
        <v>no rating</v>
      </c>
      <c r="F302" s="2" t="s">
        <v>82</v>
      </c>
      <c r="G302" t="s">
        <v>509</v>
      </c>
      <c r="H302" s="2" t="s">
        <v>1322</v>
      </c>
      <c r="I302" s="3" t="str" cm="1">
        <f t="array" ref="I302">_xlfn.IFS(VALUE(TRIM(H302))&lt;300,"Short",VALUE(TRIM(H302))&lt;450,"Medium",VALUE(TRIM(H302))&lt;750,"Long",TRUE,"Very Long")</f>
        <v>Medium</v>
      </c>
      <c r="J302" t="s">
        <v>54</v>
      </c>
      <c r="K302" t="str" cm="1">
        <f t="array" ref="K302">_xlfn.IFS(VALUE(TRIM(J302))&lt;0,"BC",VALUE(TRIM(J302))&lt;200,"100",VALUE(TRIM(J302))&lt;800,"700",VALUE(TRIM(J302))&lt;900,"800",VALUE(TRIM(J302))&lt;1000,"900",VALUE(TRIM(J302))&lt;1100,"1000",VALUE(TRIM(J302))&lt;1200,"1100",VALUE(TRIM(J302))&lt;1300,"1200",VALUE(TRIM(J302))&lt;1400,"1300",VALUE(TRIM(J302))&lt;1500,"1400",VALUE(TRIM(J302))&lt;1600,"1500",VALUE(TRIM(J302))&lt;1700,"1600",VALUE(TRIM(J302))&lt;1800,"1700",VALUE(TRIM(J302))&lt;1900,"1800",VALUE(TRIM(J302))&lt;2000,"1900",VALUE(TRIM(J302))&lt;2100,"2000")</f>
        <v>2000</v>
      </c>
      <c r="M302" s="1" t="str">
        <f t="shared" si="14"/>
        <v/>
      </c>
      <c r="N302" s="1" t="str">
        <f t="shared" si="13"/>
        <v>not read</v>
      </c>
      <c r="O302" t="s">
        <v>47</v>
      </c>
    </row>
    <row r="303" spans="1:15">
      <c r="A303" s="2" t="s">
        <v>1323</v>
      </c>
      <c r="B303" t="s">
        <v>1324</v>
      </c>
      <c r="C303" t="s">
        <v>1325</v>
      </c>
      <c r="D303" s="2" t="s">
        <v>18</v>
      </c>
      <c r="E303" s="2" t="str">
        <f t="shared" si="12"/>
        <v>no rating</v>
      </c>
      <c r="F303" s="2" t="s">
        <v>69</v>
      </c>
      <c r="G303" t="s">
        <v>1326</v>
      </c>
      <c r="H303" s="2" t="s">
        <v>263</v>
      </c>
      <c r="I303" s="3" t="str" cm="1">
        <f t="array" ref="I303">_xlfn.IFS(VALUE(TRIM(H303))&lt;300,"Short",VALUE(TRIM(H303))&lt;450,"Medium",VALUE(TRIM(H303))&lt;750,"Long",TRUE,"Very Long")</f>
        <v>Medium</v>
      </c>
      <c r="J303" t="s">
        <v>150</v>
      </c>
      <c r="K303" t="str" cm="1">
        <f t="array" ref="K303">_xlfn.IFS(VALUE(TRIM(J303))&lt;0,"BC",VALUE(TRIM(J303))&lt;200,"100",VALUE(TRIM(J303))&lt;800,"700",VALUE(TRIM(J303))&lt;900,"800",VALUE(TRIM(J303))&lt;1000,"900",VALUE(TRIM(J303))&lt;1100,"1000",VALUE(TRIM(J303))&lt;1200,"1100",VALUE(TRIM(J303))&lt;1300,"1200",VALUE(TRIM(J303))&lt;1400,"1300",VALUE(TRIM(J303))&lt;1500,"1400",VALUE(TRIM(J303))&lt;1600,"1500",VALUE(TRIM(J303))&lt;1700,"1600",VALUE(TRIM(J303))&lt;1800,"1700",VALUE(TRIM(J303))&lt;1900,"1800",VALUE(TRIM(J303))&lt;2000,"1900",VALUE(TRIM(J303))&lt;2100,"2000")</f>
        <v>2000</v>
      </c>
      <c r="M303" s="1" t="str">
        <f t="shared" si="14"/>
        <v/>
      </c>
      <c r="N303" s="1" t="str">
        <f t="shared" si="13"/>
        <v>not read</v>
      </c>
      <c r="O303" t="s">
        <v>47</v>
      </c>
    </row>
    <row r="304" spans="1:15">
      <c r="A304" s="2" t="s">
        <v>1327</v>
      </c>
      <c r="B304" t="s">
        <v>1328</v>
      </c>
      <c r="C304" t="s">
        <v>1329</v>
      </c>
      <c r="D304" s="2" t="s">
        <v>18</v>
      </c>
      <c r="E304" s="2" t="str">
        <f t="shared" si="12"/>
        <v>no rating</v>
      </c>
      <c r="F304" s="2" t="s">
        <v>19</v>
      </c>
      <c r="G304" t="s">
        <v>1330</v>
      </c>
      <c r="H304" s="2" t="s">
        <v>254</v>
      </c>
      <c r="I304" s="3" t="str" cm="1">
        <f t="array" ref="I304">_xlfn.IFS(VALUE(TRIM(H304))&lt;300,"Short",VALUE(TRIM(H304))&lt;450,"Medium",VALUE(TRIM(H304))&lt;750,"Long",TRUE,"Very Long")</f>
        <v>Short</v>
      </c>
      <c r="J304" t="s">
        <v>1331</v>
      </c>
      <c r="K304" t="str" cm="1">
        <f t="array" ref="K304">_xlfn.IFS(VALUE(TRIM(J304))&lt;0,"BC",VALUE(TRIM(J304))&lt;200,"100",VALUE(TRIM(J304))&lt;800,"700",VALUE(TRIM(J304))&lt;900,"800",VALUE(TRIM(J304))&lt;1000,"900",VALUE(TRIM(J304))&lt;1100,"1000",VALUE(TRIM(J304))&lt;1200,"1100",VALUE(TRIM(J304))&lt;1300,"1200",VALUE(TRIM(J304))&lt;1400,"1300",VALUE(TRIM(J304))&lt;1500,"1400",VALUE(TRIM(J304))&lt;1600,"1500",VALUE(TRIM(J304))&lt;1700,"1600",VALUE(TRIM(J304))&lt;1800,"1700",VALUE(TRIM(J304))&lt;1900,"1800",VALUE(TRIM(J304))&lt;2000,"1900",VALUE(TRIM(J304))&lt;2100,"2000")</f>
        <v>1900</v>
      </c>
      <c r="M304" s="1" t="str">
        <f t="shared" si="14"/>
        <v/>
      </c>
      <c r="N304" s="1" t="str">
        <f t="shared" si="13"/>
        <v>not read</v>
      </c>
      <c r="O304" t="s">
        <v>47</v>
      </c>
    </row>
    <row r="305" spans="1:15">
      <c r="A305" s="2" t="s">
        <v>1332</v>
      </c>
      <c r="B305" t="s">
        <v>1333</v>
      </c>
      <c r="C305" t="s">
        <v>1334</v>
      </c>
      <c r="D305" s="2" t="s">
        <v>18</v>
      </c>
      <c r="E305" s="2" t="str">
        <f t="shared" si="12"/>
        <v>no rating</v>
      </c>
      <c r="F305" s="2" t="s">
        <v>36</v>
      </c>
      <c r="G305" t="s">
        <v>108</v>
      </c>
      <c r="H305" s="2" t="s">
        <v>204</v>
      </c>
      <c r="I305" s="3" t="str" cm="1">
        <f t="array" ref="I305">_xlfn.IFS(VALUE(TRIM(H305))&lt;300,"Short",VALUE(TRIM(H305))&lt;450,"Medium",VALUE(TRIM(H305))&lt;750,"Long",TRUE,"Very Long")</f>
        <v>Short</v>
      </c>
      <c r="J305" t="s">
        <v>1335</v>
      </c>
      <c r="K305" t="str" cm="1">
        <f t="array" ref="K305">_xlfn.IFS(VALUE(TRIM(J305))&lt;0,"BC",VALUE(TRIM(J305))&lt;200,"100",VALUE(TRIM(J305))&lt;800,"700",VALUE(TRIM(J305))&lt;900,"800",VALUE(TRIM(J305))&lt;1000,"900",VALUE(TRIM(J305))&lt;1100,"1000",VALUE(TRIM(J305))&lt;1200,"1100",VALUE(TRIM(J305))&lt;1300,"1200",VALUE(TRIM(J305))&lt;1400,"1300",VALUE(TRIM(J305))&lt;1500,"1400",VALUE(TRIM(J305))&lt;1600,"1500",VALUE(TRIM(J305))&lt;1700,"1600",VALUE(TRIM(J305))&lt;1800,"1700",VALUE(TRIM(J305))&lt;1900,"1800",VALUE(TRIM(J305))&lt;2000,"1900",VALUE(TRIM(J305))&lt;2100,"2000")</f>
        <v>1900</v>
      </c>
      <c r="M305" s="1" t="str">
        <f t="shared" si="14"/>
        <v/>
      </c>
      <c r="N305" s="1" t="str">
        <f t="shared" si="13"/>
        <v>not read</v>
      </c>
      <c r="O305" t="s">
        <v>47</v>
      </c>
    </row>
    <row r="306" spans="1:15">
      <c r="A306" s="2" t="s">
        <v>1336</v>
      </c>
      <c r="B306" t="s">
        <v>1337</v>
      </c>
      <c r="C306" t="s">
        <v>1338</v>
      </c>
      <c r="D306" s="2" t="s">
        <v>18</v>
      </c>
      <c r="E306" s="2" t="str">
        <f t="shared" si="12"/>
        <v>no rating</v>
      </c>
      <c r="F306" s="2" t="s">
        <v>82</v>
      </c>
      <c r="G306" t="s">
        <v>583</v>
      </c>
      <c r="H306" s="2" t="s">
        <v>1339</v>
      </c>
      <c r="I306" s="3" t="str" cm="1">
        <f t="array" ref="I306">_xlfn.IFS(VALUE(TRIM(H306))&lt;300,"Short",VALUE(TRIM(H306))&lt;450,"Medium",VALUE(TRIM(H306))&lt;750,"Long",TRUE,"Very Long")</f>
        <v>Medium</v>
      </c>
      <c r="J306" t="s">
        <v>259</v>
      </c>
      <c r="K306" t="str" cm="1">
        <f t="array" ref="K306">_xlfn.IFS(VALUE(TRIM(J306))&lt;0,"BC",VALUE(TRIM(J306))&lt;200,"100",VALUE(TRIM(J306))&lt;800,"700",VALUE(TRIM(J306))&lt;900,"800",VALUE(TRIM(J306))&lt;1000,"900",VALUE(TRIM(J306))&lt;1100,"1000",VALUE(TRIM(J306))&lt;1200,"1100",VALUE(TRIM(J306))&lt;1300,"1200",VALUE(TRIM(J306))&lt;1400,"1300",VALUE(TRIM(J306))&lt;1500,"1400",VALUE(TRIM(J306))&lt;1600,"1500",VALUE(TRIM(J306))&lt;1700,"1600",VALUE(TRIM(J306))&lt;1800,"1700",VALUE(TRIM(J306))&lt;1900,"1800",VALUE(TRIM(J306))&lt;2000,"1900",VALUE(TRIM(J306))&lt;2100,"2000")</f>
        <v>2000</v>
      </c>
      <c r="M306" s="1" t="str">
        <f t="shared" si="14"/>
        <v/>
      </c>
      <c r="N306" s="1" t="str">
        <f t="shared" si="13"/>
        <v>not read</v>
      </c>
      <c r="O306" t="s">
        <v>47</v>
      </c>
    </row>
    <row r="307" spans="1:15">
      <c r="A307" s="2" t="s">
        <v>1340</v>
      </c>
      <c r="B307" t="s">
        <v>1341</v>
      </c>
      <c r="C307" t="s">
        <v>401</v>
      </c>
      <c r="D307" s="2" t="s">
        <v>36</v>
      </c>
      <c r="E307" s="2" t="str">
        <f t="shared" si="12"/>
        <v>4</v>
      </c>
      <c r="F307" s="2" t="s">
        <v>19</v>
      </c>
      <c r="G307" t="s">
        <v>83</v>
      </c>
      <c r="H307" s="2" t="s">
        <v>30</v>
      </c>
      <c r="I307" s="3" t="str" cm="1">
        <f t="array" ref="I307">_xlfn.IFS(VALUE(TRIM(H307))&lt;300,"Short",VALUE(TRIM(H307))&lt;450,"Medium",VALUE(TRIM(H307))&lt;750,"Long",TRUE,"Very Long")</f>
        <v>Medium</v>
      </c>
      <c r="J307" t="s">
        <v>403</v>
      </c>
      <c r="K307" t="str" cm="1">
        <f t="array" ref="K307">_xlfn.IFS(VALUE(TRIM(J307))&lt;0,"BC",VALUE(TRIM(J307))&lt;200,"100",VALUE(TRIM(J307))&lt;800,"700",VALUE(TRIM(J307))&lt;900,"800",VALUE(TRIM(J307))&lt;1000,"900",VALUE(TRIM(J307))&lt;1100,"1000",VALUE(TRIM(J307))&lt;1200,"1100",VALUE(TRIM(J307))&lt;1300,"1200",VALUE(TRIM(J307))&lt;1400,"1300",VALUE(TRIM(J307))&lt;1500,"1400",VALUE(TRIM(J307))&lt;1600,"1500",VALUE(TRIM(J307))&lt;1700,"1600",VALUE(TRIM(J307))&lt;1800,"1700",VALUE(TRIM(J307))&lt;1900,"1800",VALUE(TRIM(J307))&lt;2000,"1900",VALUE(TRIM(J307))&lt;2100,"2000")</f>
        <v>1900</v>
      </c>
      <c r="M307" s="1" t="str">
        <f t="shared" si="14"/>
        <v/>
      </c>
      <c r="N307" s="1" t="str">
        <f t="shared" si="13"/>
        <v>not read</v>
      </c>
      <c r="O307" t="s">
        <v>32</v>
      </c>
    </row>
    <row r="308" spans="1:15">
      <c r="A308" s="2" t="s">
        <v>1342</v>
      </c>
      <c r="B308" t="s">
        <v>1343</v>
      </c>
      <c r="C308" t="s">
        <v>401</v>
      </c>
      <c r="D308" s="2" t="s">
        <v>36</v>
      </c>
      <c r="E308" s="2" t="str">
        <f t="shared" si="12"/>
        <v>4</v>
      </c>
      <c r="F308" s="2" t="s">
        <v>28</v>
      </c>
      <c r="G308" t="s">
        <v>556</v>
      </c>
      <c r="H308" s="2" t="s">
        <v>1344</v>
      </c>
      <c r="I308" s="3" t="str" cm="1">
        <f t="array" ref="I308">_xlfn.IFS(VALUE(TRIM(H308))&lt;300,"Short",VALUE(TRIM(H308))&lt;450,"Medium",VALUE(TRIM(H308))&lt;750,"Long",TRUE,"Very Long")</f>
        <v>Short</v>
      </c>
      <c r="J308" t="s">
        <v>185</v>
      </c>
      <c r="K308" t="str" cm="1">
        <f t="array" ref="K308">_xlfn.IFS(VALUE(TRIM(J308))&lt;0,"BC",VALUE(TRIM(J308))&lt;200,"100",VALUE(TRIM(J308))&lt;800,"700",VALUE(TRIM(J308))&lt;900,"800",VALUE(TRIM(J308))&lt;1000,"900",VALUE(TRIM(J308))&lt;1100,"1000",VALUE(TRIM(J308))&lt;1200,"1100",VALUE(TRIM(J308))&lt;1300,"1200",VALUE(TRIM(J308))&lt;1400,"1300",VALUE(TRIM(J308))&lt;1500,"1400",VALUE(TRIM(J308))&lt;1600,"1500",VALUE(TRIM(J308))&lt;1700,"1600",VALUE(TRIM(J308))&lt;1800,"1700",VALUE(TRIM(J308))&lt;1900,"1800",VALUE(TRIM(J308))&lt;2000,"1900",VALUE(TRIM(J308))&lt;2100,"2000")</f>
        <v>1900</v>
      </c>
      <c r="M308" s="1" t="str">
        <f t="shared" si="14"/>
        <v/>
      </c>
      <c r="N308" s="1" t="str">
        <f t="shared" si="13"/>
        <v>not read</v>
      </c>
      <c r="O308" t="s">
        <v>32</v>
      </c>
    </row>
    <row r="309" spans="1:15">
      <c r="A309" s="2" t="s">
        <v>1345</v>
      </c>
      <c r="B309" t="s">
        <v>1346</v>
      </c>
      <c r="C309" t="s">
        <v>1347</v>
      </c>
      <c r="D309" s="2" t="s">
        <v>36</v>
      </c>
      <c r="E309" s="2" t="str">
        <f t="shared" si="12"/>
        <v>4</v>
      </c>
      <c r="F309" s="2" t="s">
        <v>89</v>
      </c>
      <c r="G309" t="s">
        <v>20</v>
      </c>
      <c r="H309" s="2" t="s">
        <v>526</v>
      </c>
      <c r="I309" s="3" t="str" cm="1">
        <f t="array" ref="I309">_xlfn.IFS(VALUE(TRIM(H309))&lt;300,"Short",VALUE(TRIM(H309))&lt;450,"Medium",VALUE(TRIM(H309))&lt;750,"Long",TRUE,"Very Long")</f>
        <v>Short</v>
      </c>
      <c r="J309" t="s">
        <v>739</v>
      </c>
      <c r="K309" t="str" cm="1">
        <f t="array" ref="K309">_xlfn.IFS(VALUE(TRIM(J309))&lt;0,"BC",VALUE(TRIM(J309))&lt;200,"100",VALUE(TRIM(J309))&lt;800,"700",VALUE(TRIM(J309))&lt;900,"800",VALUE(TRIM(J309))&lt;1000,"900",VALUE(TRIM(J309))&lt;1100,"1000",VALUE(TRIM(J309))&lt;1200,"1100",VALUE(TRIM(J309))&lt;1300,"1200",VALUE(TRIM(J309))&lt;1400,"1300",VALUE(TRIM(J309))&lt;1500,"1400",VALUE(TRIM(J309))&lt;1600,"1500",VALUE(TRIM(J309))&lt;1700,"1600",VALUE(TRIM(J309))&lt;1800,"1700",VALUE(TRIM(J309))&lt;1900,"1800",VALUE(TRIM(J309))&lt;2000,"1900",VALUE(TRIM(J309))&lt;2100,"2000")</f>
        <v>1900</v>
      </c>
      <c r="M309" s="1" t="str">
        <f t="shared" si="14"/>
        <v/>
      </c>
      <c r="N309" s="1" t="str">
        <f t="shared" si="13"/>
        <v>not read</v>
      </c>
      <c r="O309" t="s">
        <v>32</v>
      </c>
    </row>
    <row r="310" spans="1:15">
      <c r="A310" s="2" t="s">
        <v>1348</v>
      </c>
      <c r="B310" t="s">
        <v>1349</v>
      </c>
      <c r="C310" t="s">
        <v>1350</v>
      </c>
      <c r="D310" s="2" t="s">
        <v>27</v>
      </c>
      <c r="E310" s="2" t="str">
        <f t="shared" si="12"/>
        <v>3</v>
      </c>
      <c r="F310" s="2" t="s">
        <v>28</v>
      </c>
      <c r="G310" t="s">
        <v>108</v>
      </c>
      <c r="H310" s="2" t="s">
        <v>1351</v>
      </c>
      <c r="I310" s="3" t="str" cm="1">
        <f t="array" ref="I310">_xlfn.IFS(VALUE(TRIM(H310))&lt;300,"Short",VALUE(TRIM(H310))&lt;450,"Medium",VALUE(TRIM(H310))&lt;750,"Long",TRUE,"Very Long")</f>
        <v>Short</v>
      </c>
      <c r="J310" t="s">
        <v>208</v>
      </c>
      <c r="K310" t="str" cm="1">
        <f t="array" ref="K310">_xlfn.IFS(VALUE(TRIM(J310))&lt;0,"BC",VALUE(TRIM(J310))&lt;200,"100",VALUE(TRIM(J310))&lt;800,"700",VALUE(TRIM(J310))&lt;900,"800",VALUE(TRIM(J310))&lt;1000,"900",VALUE(TRIM(J310))&lt;1100,"1000",VALUE(TRIM(J310))&lt;1200,"1100",VALUE(TRIM(J310))&lt;1300,"1200",VALUE(TRIM(J310))&lt;1400,"1300",VALUE(TRIM(J310))&lt;1500,"1400",VALUE(TRIM(J310))&lt;1600,"1500",VALUE(TRIM(J310))&lt;1700,"1600",VALUE(TRIM(J310))&lt;1800,"1700",VALUE(TRIM(J310))&lt;1900,"1800",VALUE(TRIM(J310))&lt;2000,"1900",VALUE(TRIM(J310))&lt;2100,"2000")</f>
        <v>2000</v>
      </c>
      <c r="M310" s="1" t="str">
        <f t="shared" si="14"/>
        <v/>
      </c>
      <c r="N310" s="1" t="str">
        <f t="shared" si="13"/>
        <v>not read</v>
      </c>
      <c r="O310" t="s">
        <v>32</v>
      </c>
    </row>
    <row r="311" spans="1:15">
      <c r="A311" s="2" t="s">
        <v>1352</v>
      </c>
      <c r="B311" t="s">
        <v>1353</v>
      </c>
      <c r="C311" t="s">
        <v>1354</v>
      </c>
      <c r="D311" s="2" t="s">
        <v>18</v>
      </c>
      <c r="E311" s="2" t="str">
        <f t="shared" ref="E311:E320" si="15">IF(D311="0","no rating", D311)</f>
        <v>no rating</v>
      </c>
      <c r="F311" s="2" t="s">
        <v>43</v>
      </c>
      <c r="G311" t="s">
        <v>1191</v>
      </c>
      <c r="H311" s="2" t="s">
        <v>994</v>
      </c>
      <c r="I311" s="3" t="str" cm="1">
        <f t="array" ref="I311">_xlfn.IFS(VALUE(TRIM(H311))&lt;300,"Short",VALUE(TRIM(H311))&lt;450,"Medium",VALUE(TRIM(H311))&lt;750,"Long",TRUE,"Very Long")</f>
        <v>Medium</v>
      </c>
      <c r="J311" t="s">
        <v>293</v>
      </c>
      <c r="K311" t="str" cm="1">
        <f t="array" ref="K311">_xlfn.IFS(VALUE(TRIM(J311))&lt;0,"BC",VALUE(TRIM(J311))&lt;200,"100",VALUE(TRIM(J311))&lt;800,"700",VALUE(TRIM(J311))&lt;900,"800",VALUE(TRIM(J311))&lt;1000,"900",VALUE(TRIM(J311))&lt;1100,"1000",VALUE(TRIM(J311))&lt;1200,"1100",VALUE(TRIM(J311))&lt;1300,"1200",VALUE(TRIM(J311))&lt;1400,"1300",VALUE(TRIM(J311))&lt;1500,"1400",VALUE(TRIM(J311))&lt;1600,"1500",VALUE(TRIM(J311))&lt;1700,"1600",VALUE(TRIM(J311))&lt;1800,"1700",VALUE(TRIM(J311))&lt;1900,"1800",VALUE(TRIM(J311))&lt;2000,"1900",VALUE(TRIM(J311))&lt;2100,"2000")</f>
        <v>1900</v>
      </c>
      <c r="M311" s="1" t="str">
        <f t="shared" si="14"/>
        <v/>
      </c>
      <c r="N311" s="1" t="str">
        <f t="shared" ref="N311:N320" si="16">IF(L311="","not read",L311)</f>
        <v>not read</v>
      </c>
      <c r="O311" t="s">
        <v>47</v>
      </c>
    </row>
    <row r="312" spans="1:15">
      <c r="A312" s="2" t="s">
        <v>1355</v>
      </c>
      <c r="B312" t="s">
        <v>1356</v>
      </c>
      <c r="C312" t="s">
        <v>1305</v>
      </c>
      <c r="D312" s="2" t="s">
        <v>18</v>
      </c>
      <c r="E312" s="2" t="str">
        <f t="shared" si="15"/>
        <v>no rating</v>
      </c>
      <c r="F312" s="2" t="s">
        <v>43</v>
      </c>
      <c r="G312" t="s">
        <v>20</v>
      </c>
      <c r="H312" s="2" t="s">
        <v>962</v>
      </c>
      <c r="I312" s="3" t="str" cm="1">
        <f t="array" ref="I312">_xlfn.IFS(VALUE(TRIM(H312))&lt;300,"Short",VALUE(TRIM(H312))&lt;450,"Medium",VALUE(TRIM(H312))&lt;750,"Long",TRUE,"Very Long")</f>
        <v>Medium</v>
      </c>
      <c r="J312" t="s">
        <v>98</v>
      </c>
      <c r="K312" t="str" cm="1">
        <f t="array" ref="K312">_xlfn.IFS(VALUE(TRIM(J312))&lt;0,"BC",VALUE(TRIM(J312))&lt;200,"100",VALUE(TRIM(J312))&lt;800,"700",VALUE(TRIM(J312))&lt;900,"800",VALUE(TRIM(J312))&lt;1000,"900",VALUE(TRIM(J312))&lt;1100,"1000",VALUE(TRIM(J312))&lt;1200,"1100",VALUE(TRIM(J312))&lt;1300,"1200",VALUE(TRIM(J312))&lt;1400,"1300",VALUE(TRIM(J312))&lt;1500,"1400",VALUE(TRIM(J312))&lt;1600,"1500",VALUE(TRIM(J312))&lt;1700,"1600",VALUE(TRIM(J312))&lt;1800,"1700",VALUE(TRIM(J312))&lt;1900,"1800",VALUE(TRIM(J312))&lt;2000,"1900",VALUE(TRIM(J312))&lt;2100,"2000")</f>
        <v>1900</v>
      </c>
      <c r="M312" s="1" t="str">
        <f t="shared" si="14"/>
        <v/>
      </c>
      <c r="N312" s="1" t="str">
        <f t="shared" si="16"/>
        <v>not read</v>
      </c>
      <c r="O312" t="s">
        <v>47</v>
      </c>
    </row>
    <row r="313" spans="1:15">
      <c r="A313" s="2" t="s">
        <v>1357</v>
      </c>
      <c r="B313" t="s">
        <v>1358</v>
      </c>
      <c r="C313" t="s">
        <v>1359</v>
      </c>
      <c r="D313" s="2" t="s">
        <v>36</v>
      </c>
      <c r="E313" s="2" t="str">
        <f t="shared" si="15"/>
        <v>4</v>
      </c>
      <c r="F313" s="2" t="s">
        <v>178</v>
      </c>
      <c r="G313" t="s">
        <v>737</v>
      </c>
      <c r="H313" s="2" t="s">
        <v>1258</v>
      </c>
      <c r="I313" s="3" t="str" cm="1">
        <f t="array" ref="I313">_xlfn.IFS(VALUE(TRIM(H313))&lt;300,"Short",VALUE(TRIM(H313))&lt;450,"Medium",VALUE(TRIM(H313))&lt;750,"Long",TRUE,"Very Long")</f>
        <v>Medium</v>
      </c>
      <c r="J313" t="s">
        <v>1331</v>
      </c>
      <c r="K313" t="str" cm="1">
        <f t="array" ref="K313">_xlfn.IFS(VALUE(TRIM(J313))&lt;0,"BC",VALUE(TRIM(J313))&lt;200,"100",VALUE(TRIM(J313))&lt;800,"700",VALUE(TRIM(J313))&lt;900,"800",VALUE(TRIM(J313))&lt;1000,"900",VALUE(TRIM(J313))&lt;1100,"1000",VALUE(TRIM(J313))&lt;1200,"1100",VALUE(TRIM(J313))&lt;1300,"1200",VALUE(TRIM(J313))&lt;1400,"1300",VALUE(TRIM(J313))&lt;1500,"1400",VALUE(TRIM(J313))&lt;1600,"1500",VALUE(TRIM(J313))&lt;1700,"1600",VALUE(TRIM(J313))&lt;1800,"1700",VALUE(TRIM(J313))&lt;1900,"1800",VALUE(TRIM(J313))&lt;2000,"1900",VALUE(TRIM(J313))&lt;2100,"2000")</f>
        <v>1900</v>
      </c>
      <c r="M313" s="1" t="str">
        <f t="shared" si="14"/>
        <v/>
      </c>
      <c r="N313" s="1" t="str">
        <f t="shared" si="16"/>
        <v>not read</v>
      </c>
      <c r="O313" t="s">
        <v>32</v>
      </c>
    </row>
    <row r="314" spans="1:15">
      <c r="A314" s="2" t="s">
        <v>1360</v>
      </c>
      <c r="B314" t="s">
        <v>1361</v>
      </c>
      <c r="C314" t="s">
        <v>671</v>
      </c>
      <c r="D314" s="2" t="s">
        <v>27</v>
      </c>
      <c r="E314" s="2" t="str">
        <f t="shared" si="15"/>
        <v>3</v>
      </c>
      <c r="F314" s="2" t="s">
        <v>154</v>
      </c>
      <c r="G314" t="s">
        <v>83</v>
      </c>
      <c r="H314" s="2" t="s">
        <v>998</v>
      </c>
      <c r="I314" s="3" t="str" cm="1">
        <f t="array" ref="I314">_xlfn.IFS(VALUE(TRIM(H314))&lt;300,"Short",VALUE(TRIM(H314))&lt;450,"Medium",VALUE(TRIM(H314))&lt;750,"Long",TRUE,"Very Long")</f>
        <v>Short</v>
      </c>
      <c r="J314" t="s">
        <v>902</v>
      </c>
      <c r="K314" t="str" cm="1">
        <f t="array" ref="K314">_xlfn.IFS(VALUE(TRIM(J314))&lt;0,"BC",VALUE(TRIM(J314))&lt;200,"100",VALUE(TRIM(J314))&lt;800,"700",VALUE(TRIM(J314))&lt;900,"800",VALUE(TRIM(J314))&lt;1000,"900",VALUE(TRIM(J314))&lt;1100,"1000",VALUE(TRIM(J314))&lt;1200,"1100",VALUE(TRIM(J314))&lt;1300,"1200",VALUE(TRIM(J314))&lt;1400,"1300",VALUE(TRIM(J314))&lt;1500,"1400",VALUE(TRIM(J314))&lt;1600,"1500",VALUE(TRIM(J314))&lt;1700,"1600",VALUE(TRIM(J314))&lt;1800,"1700",VALUE(TRIM(J314))&lt;1900,"1800",VALUE(TRIM(J314))&lt;2000,"1900",VALUE(TRIM(J314))&lt;2100,"2000")</f>
        <v>1900</v>
      </c>
      <c r="L314" s="1">
        <v>44273</v>
      </c>
      <c r="M314" s="1" t="str">
        <f t="shared" si="14"/>
        <v>03/2021</v>
      </c>
      <c r="N314" s="1">
        <f t="shared" si="16"/>
        <v>44273</v>
      </c>
      <c r="O314" t="s">
        <v>32</v>
      </c>
    </row>
    <row r="315" spans="1:15">
      <c r="A315" s="2" t="s">
        <v>1362</v>
      </c>
      <c r="B315" t="s">
        <v>1363</v>
      </c>
      <c r="C315" t="s">
        <v>1364</v>
      </c>
      <c r="D315" s="2" t="s">
        <v>18</v>
      </c>
      <c r="E315" s="2" t="str">
        <f t="shared" si="15"/>
        <v>no rating</v>
      </c>
      <c r="F315" s="2" t="s">
        <v>82</v>
      </c>
      <c r="G315" t="s">
        <v>516</v>
      </c>
      <c r="H315" s="2" t="s">
        <v>1365</v>
      </c>
      <c r="I315" s="3" t="str" cm="1">
        <f t="array" ref="I315">_xlfn.IFS(VALUE(TRIM(H315))&lt;300,"Short",VALUE(TRIM(H315))&lt;450,"Medium",VALUE(TRIM(H315))&lt;750,"Long",TRUE,"Very Long")</f>
        <v>Short</v>
      </c>
      <c r="J315" t="s">
        <v>1047</v>
      </c>
      <c r="K315" t="str" cm="1">
        <f t="array" ref="K315">_xlfn.IFS(VALUE(TRIM(J315))&lt;0,"BC",VALUE(TRIM(J315))&lt;200,"100",VALUE(TRIM(J315))&lt;800,"700",VALUE(TRIM(J315))&lt;900,"800",VALUE(TRIM(J315))&lt;1000,"900",VALUE(TRIM(J315))&lt;1100,"1000",VALUE(TRIM(J315))&lt;1200,"1100",VALUE(TRIM(J315))&lt;1300,"1200",VALUE(TRIM(J315))&lt;1400,"1300",VALUE(TRIM(J315))&lt;1500,"1400",VALUE(TRIM(J315))&lt;1600,"1500",VALUE(TRIM(J315))&lt;1700,"1600",VALUE(TRIM(J315))&lt;1800,"1700",VALUE(TRIM(J315))&lt;1900,"1800",VALUE(TRIM(J315))&lt;2000,"1900",VALUE(TRIM(J315))&lt;2100,"2000")</f>
        <v>1900</v>
      </c>
      <c r="M315" s="1" t="str">
        <f t="shared" si="14"/>
        <v/>
      </c>
      <c r="N315" s="1" t="str">
        <f t="shared" si="16"/>
        <v>not read</v>
      </c>
      <c r="O315" t="s">
        <v>47</v>
      </c>
    </row>
    <row r="316" spans="1:15">
      <c r="A316" s="2" t="s">
        <v>1366</v>
      </c>
      <c r="B316" t="s">
        <v>1367</v>
      </c>
      <c r="C316" t="s">
        <v>1368</v>
      </c>
      <c r="D316" s="2" t="s">
        <v>27</v>
      </c>
      <c r="E316" s="2" t="str">
        <f t="shared" si="15"/>
        <v>3</v>
      </c>
      <c r="F316" s="2" t="s">
        <v>19</v>
      </c>
      <c r="G316" t="s">
        <v>114</v>
      </c>
      <c r="H316" s="2" t="s">
        <v>129</v>
      </c>
      <c r="I316" s="3" t="str" cm="1">
        <f t="array" ref="I316">_xlfn.IFS(VALUE(TRIM(H316))&lt;300,"Short",VALUE(TRIM(H316))&lt;450,"Medium",VALUE(TRIM(H316))&lt;750,"Long",TRUE,"Very Long")</f>
        <v>Short</v>
      </c>
      <c r="J316" t="s">
        <v>1369</v>
      </c>
      <c r="K316" t="str" cm="1">
        <f t="array" ref="K316">_xlfn.IFS(VALUE(TRIM(J316))&lt;0,"BC",VALUE(TRIM(J316))&lt;200,"100",VALUE(TRIM(J316))&lt;800,"700",VALUE(TRIM(J316))&lt;900,"800",VALUE(TRIM(J316))&lt;1000,"900",VALUE(TRIM(J316))&lt;1100,"1000",VALUE(TRIM(J316))&lt;1200,"1100",VALUE(TRIM(J316))&lt;1300,"1200",VALUE(TRIM(J316))&lt;1400,"1300",VALUE(TRIM(J316))&lt;1500,"1400",VALUE(TRIM(J316))&lt;1600,"1500",VALUE(TRIM(J316))&lt;1700,"1600",VALUE(TRIM(J316))&lt;1800,"1700",VALUE(TRIM(J316))&lt;1900,"1800",VALUE(TRIM(J316))&lt;2000,"1900",VALUE(TRIM(J316))&lt;2100,"2000")</f>
        <v>1900</v>
      </c>
      <c r="M316" s="1" t="str">
        <f t="shared" si="14"/>
        <v/>
      </c>
      <c r="N316" s="1" t="str">
        <f t="shared" si="16"/>
        <v>not read</v>
      </c>
      <c r="O316" t="s">
        <v>32</v>
      </c>
    </row>
    <row r="317" spans="1:15">
      <c r="A317" s="2" t="s">
        <v>1370</v>
      </c>
      <c r="B317" t="s">
        <v>1371</v>
      </c>
      <c r="C317" t="s">
        <v>1312</v>
      </c>
      <c r="D317" s="2" t="s">
        <v>27</v>
      </c>
      <c r="E317" s="2" t="str">
        <f t="shared" si="15"/>
        <v>3</v>
      </c>
      <c r="F317" s="2" t="s">
        <v>89</v>
      </c>
      <c r="G317" t="s">
        <v>1372</v>
      </c>
      <c r="H317" s="2" t="s">
        <v>1373</v>
      </c>
      <c r="I317" s="3" t="str" cm="1">
        <f t="array" ref="I317">_xlfn.IFS(VALUE(TRIM(H317))&lt;300,"Short",VALUE(TRIM(H317))&lt;450,"Medium",VALUE(TRIM(H317))&lt;750,"Long",TRUE,"Very Long")</f>
        <v>Short</v>
      </c>
      <c r="J317" t="s">
        <v>1374</v>
      </c>
      <c r="K317" t="str" cm="1">
        <f t="array" ref="K317">_xlfn.IFS(VALUE(TRIM(J317))&lt;0,"BC",VALUE(TRIM(J317))&lt;200,"100",VALUE(TRIM(J317))&lt;800,"700",VALUE(TRIM(J317))&lt;900,"800",VALUE(TRIM(J317))&lt;1000,"900",VALUE(TRIM(J317))&lt;1100,"1000",VALUE(TRIM(J317))&lt;1200,"1100",VALUE(TRIM(J317))&lt;1300,"1200",VALUE(TRIM(J317))&lt;1400,"1300",VALUE(TRIM(J317))&lt;1500,"1400",VALUE(TRIM(J317))&lt;1600,"1500",VALUE(TRIM(J317))&lt;1700,"1600",VALUE(TRIM(J317))&lt;1800,"1700",VALUE(TRIM(J317))&lt;1900,"1800",VALUE(TRIM(J317))&lt;2000,"1900",VALUE(TRIM(J317))&lt;2100,"2000")</f>
        <v>1500</v>
      </c>
      <c r="M317" s="1" t="str">
        <f t="shared" si="14"/>
        <v/>
      </c>
      <c r="N317" s="1" t="str">
        <f t="shared" si="16"/>
        <v>not read</v>
      </c>
      <c r="O317" t="s">
        <v>32</v>
      </c>
    </row>
    <row r="318" spans="1:15">
      <c r="A318" s="2" t="s">
        <v>1375</v>
      </c>
      <c r="B318" t="s">
        <v>1376</v>
      </c>
      <c r="C318" t="s">
        <v>1377</v>
      </c>
      <c r="D318" s="2" t="s">
        <v>36</v>
      </c>
      <c r="E318" s="2" t="str">
        <f t="shared" si="15"/>
        <v>4</v>
      </c>
      <c r="F318" s="2" t="s">
        <v>43</v>
      </c>
      <c r="G318" t="s">
        <v>1378</v>
      </c>
      <c r="H318" s="2" t="s">
        <v>27</v>
      </c>
      <c r="I318" s="3" t="str" cm="1">
        <f t="array" ref="I318">_xlfn.IFS(VALUE(TRIM(H318))&lt;300,"Short",VALUE(TRIM(H318))&lt;450,"Medium",VALUE(TRIM(H318))&lt;750,"Long",TRUE,"Very Long")</f>
        <v>Short</v>
      </c>
      <c r="J318" t="s">
        <v>238</v>
      </c>
      <c r="K318" t="str" cm="1">
        <f t="array" ref="K318">_xlfn.IFS(VALUE(TRIM(J318))&lt;0,"BC",VALUE(TRIM(J318))&lt;200,"100",VALUE(TRIM(J318))&lt;800,"700",VALUE(TRIM(J318))&lt;900,"800",VALUE(TRIM(J318))&lt;1000,"900",VALUE(TRIM(J318))&lt;1100,"1000",VALUE(TRIM(J318))&lt;1200,"1100",VALUE(TRIM(J318))&lt;1300,"1200",VALUE(TRIM(J318))&lt;1400,"1300",VALUE(TRIM(J318))&lt;1500,"1400",VALUE(TRIM(J318))&lt;1600,"1500",VALUE(TRIM(J318))&lt;1700,"1600",VALUE(TRIM(J318))&lt;1800,"1700",VALUE(TRIM(J318))&lt;1900,"1800",VALUE(TRIM(J318))&lt;2000,"1900",VALUE(TRIM(J318))&lt;2100,"2000")</f>
        <v>2000</v>
      </c>
      <c r="M318" s="1" t="str">
        <f t="shared" si="14"/>
        <v/>
      </c>
      <c r="N318" s="1" t="str">
        <f t="shared" si="16"/>
        <v>not read</v>
      </c>
      <c r="O318" t="s">
        <v>32</v>
      </c>
    </row>
    <row r="319" spans="1:15">
      <c r="A319" s="2" t="s">
        <v>1379</v>
      </c>
      <c r="B319" t="s">
        <v>1380</v>
      </c>
      <c r="C319" t="s">
        <v>1381</v>
      </c>
      <c r="D319" s="2" t="s">
        <v>27</v>
      </c>
      <c r="E319" s="2" t="str">
        <f t="shared" si="15"/>
        <v>3</v>
      </c>
      <c r="F319" s="2" t="s">
        <v>178</v>
      </c>
      <c r="G319" t="s">
        <v>1382</v>
      </c>
      <c r="H319" s="2" t="s">
        <v>91</v>
      </c>
      <c r="I319" s="3" t="str" cm="1">
        <f t="array" ref="I319">_xlfn.IFS(VALUE(TRIM(H319))&lt;300,"Short",VALUE(TRIM(H319))&lt;450,"Medium",VALUE(TRIM(H319))&lt;750,"Long",TRUE,"Very Long")</f>
        <v>Short</v>
      </c>
      <c r="J319" t="s">
        <v>1233</v>
      </c>
      <c r="K319" t="str" cm="1">
        <f t="array" ref="K319">_xlfn.IFS(VALUE(TRIM(J319))&lt;0,"BC",VALUE(TRIM(J319))&lt;200,"100",VALUE(TRIM(J319))&lt;800,"700",VALUE(TRIM(J319))&lt;900,"800",VALUE(TRIM(J319))&lt;1000,"900",VALUE(TRIM(J319))&lt;1100,"1000",VALUE(TRIM(J319))&lt;1200,"1100",VALUE(TRIM(J319))&lt;1300,"1200",VALUE(TRIM(J319))&lt;1400,"1300",VALUE(TRIM(J319))&lt;1500,"1400",VALUE(TRIM(J319))&lt;1600,"1500",VALUE(TRIM(J319))&lt;1700,"1600",VALUE(TRIM(J319))&lt;1800,"1700",VALUE(TRIM(J319))&lt;1900,"1800",VALUE(TRIM(J319))&lt;2000,"1900",VALUE(TRIM(J319))&lt;2100,"2000")</f>
        <v>1900</v>
      </c>
      <c r="M319" s="1" t="str">
        <f t="shared" si="14"/>
        <v/>
      </c>
      <c r="N319" s="1" t="str">
        <f t="shared" si="16"/>
        <v>not read</v>
      </c>
      <c r="O319" t="s">
        <v>32</v>
      </c>
    </row>
    <row r="320" spans="1:15">
      <c r="A320" s="2" t="s">
        <v>1383</v>
      </c>
      <c r="B320" t="s">
        <v>1384</v>
      </c>
      <c r="C320" t="s">
        <v>1385</v>
      </c>
      <c r="D320" s="2" t="s">
        <v>36</v>
      </c>
      <c r="E320" s="2" t="str">
        <f t="shared" si="15"/>
        <v>4</v>
      </c>
      <c r="F320" s="2" t="s">
        <v>36</v>
      </c>
      <c r="G320" t="s">
        <v>275</v>
      </c>
      <c r="H320" s="2" t="s">
        <v>276</v>
      </c>
      <c r="I320" s="3" t="str" cm="1">
        <f t="array" ref="I320">_xlfn.IFS(VALUE(TRIM(H320))&lt;300,"Short",VALUE(TRIM(H320))&lt;450,"Medium",VALUE(TRIM(H320))&lt;750,"Long",TRUE,"Very Long")</f>
        <v>Medium</v>
      </c>
      <c r="J320" t="s">
        <v>85</v>
      </c>
      <c r="K320" t="str" cm="1">
        <f t="array" ref="K320">_xlfn.IFS(VALUE(TRIM(J320))&lt;0,"BC",VALUE(TRIM(J320))&lt;200,"100",VALUE(TRIM(J320))&lt;800,"700",VALUE(TRIM(J320))&lt;900,"800",VALUE(TRIM(J320))&lt;1000,"900",VALUE(TRIM(J320))&lt;1100,"1000",VALUE(TRIM(J320))&lt;1200,"1100",VALUE(TRIM(J320))&lt;1300,"1200",VALUE(TRIM(J320))&lt;1400,"1300",VALUE(TRIM(J320))&lt;1500,"1400",VALUE(TRIM(J320))&lt;1600,"1500",VALUE(TRIM(J320))&lt;1700,"1600",VALUE(TRIM(J320))&lt;1800,"1700",VALUE(TRIM(J320))&lt;1900,"1800",VALUE(TRIM(J320))&lt;2000,"1900",VALUE(TRIM(J320))&lt;2100,"2000")</f>
        <v>2000</v>
      </c>
      <c r="M320" s="1" t="str">
        <f t="shared" si="14"/>
        <v/>
      </c>
      <c r="N320" s="1" t="str">
        <f t="shared" si="16"/>
        <v>not read</v>
      </c>
      <c r="O320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Anushma Thapa</cp:lastModifiedBy>
  <cp:revision/>
  <dcterms:created xsi:type="dcterms:W3CDTF">2026-04-01T11:14:49Z</dcterms:created>
  <dcterms:modified xsi:type="dcterms:W3CDTF">2026-04-19T14:00:10Z</dcterms:modified>
  <cp:category/>
  <cp:contentStatus/>
</cp:coreProperties>
</file>